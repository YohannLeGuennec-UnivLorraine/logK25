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6cecf9f8bfb42ff" /></Relationships>
</file>

<file path=xl/workbook.xml><?xml version="1.0" encoding="utf-8"?>
<x:workbook xmlns:x="http://schemas.openxmlformats.org/spreadsheetml/2006/main">
  <x:sheets>
    <x:sheet xmlns:r="http://schemas.openxmlformats.org/officeDocument/2006/relationships" name="Synthèse" sheetId="1" r:id="Rb89000fc9b764df6"/>
    <x:sheet xmlns:r="http://schemas.openxmlformats.org/officeDocument/2006/relationships" name="Matrice" sheetId="2" r:id="R7036811be1e84d12"/>
    <x:sheet xmlns:r="http://schemas.openxmlformats.org/officeDocument/2006/relationships" name="Barème et méthode" sheetId="3" r:id="R6199493a124945fd"/>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
    <x:numFmt numFmtId="202" formatCode="0.0%"/>
    <x:numFmt numFmtId="203" formatCode="0.0"/>
    <x:numFmt numFmtId="204" formatCode="yyyy-mm-dd"/>
    <x:numFmt numFmtId="205" formatCode="0%"/>
  </x:numFmts>
  <x:fonts count="12">
    <x:font>
      <x:sz val="11"/>
      <x:name val="Carlito"/>
    </x:font>
    <x:font>
      <x:b/>
      <x:sz val="20"/>
      <x:color rgb="FFFFFFFF"/>
      <x:name val="Carlito"/>
    </x:font>
    <x:font>
      <x:i/>
      <x:sz val="11"/>
      <x:color rgb="FF5E6B75"/>
      <x:name val="Carlito"/>
    </x:font>
    <x:font>
      <x:b/>
      <x:sz val="11"/>
      <x:color rgb="FF17324D"/>
      <x:name val="Carlito"/>
    </x:font>
    <x:font>
      <x:b/>
      <x:sz val="11"/>
      <x:color rgb="FFFFFFFF"/>
      <x:name val="Carlito"/>
    </x:font>
    <x:font>
      <x:i/>
      <x:sz val="11"/>
      <x:color rgb="FF6A4A00"/>
      <x:name val="Carlito"/>
    </x:font>
    <x:font>
      <x:sz val="11"/>
      <x:color rgb="FFFFFFFF"/>
      <x:name val="Carlito"/>
    </x:font>
    <x:font>
      <x:b/>
      <x:sz val="10"/>
      <x:color rgb="FFFFFFFF"/>
      <x:name val="Aptos"/>
    </x:font>
    <x:font>
      <x:b/>
      <x:sz val="18"/>
      <x:color rgb="FFFFFFFF"/>
      <x:name val="Carlito"/>
    </x:font>
    <x:font>
      <x:b/>
      <x:sz val="9"/>
      <x:color rgb="FFFFFFFF"/>
      <x:name val="Carlito"/>
    </x:font>
    <x:font>
      <x:sz val="9"/>
      <x:name val="Aptos"/>
    </x:font>
    <x:font>
      <x:b/>
      <x:sz val="11"/>
      <x:name val="Carlito"/>
    </x:font>
  </x:fonts>
  <x:fills count="8">
    <x:fill>
      <x:patternFill patternType="none"/>
    </x:fill>
    <x:fill>
      <x:patternFill patternType="gray125"/>
    </x:fill>
    <x:fill>
      <x:patternFill patternType="solid">
        <x:fgColor rgb="FF17324D"/>
      </x:patternFill>
    </x:fill>
    <x:fill>
      <x:patternFill patternType="solid">
        <x:fgColor rgb="FFEAF0F6"/>
      </x:patternFill>
    </x:fill>
    <x:fill>
      <x:patternFill patternType="solid">
        <x:fgColor rgb="FFFFFFFF"/>
      </x:patternFill>
    </x:fill>
    <x:fill>
      <x:patternFill patternType="solid">
        <x:fgColor rgb="FF087E8B"/>
      </x:patternFill>
    </x:fill>
    <x:fill>
      <x:patternFill patternType="solid">
        <x:fgColor rgb="FFFFF4D6"/>
      </x:patternFill>
    </x:fill>
    <x:fill>
      <x:patternFill patternType="solid">
        <x:fgColor rgb="FFE6F4EA"/>
      </x:patternFill>
    </x:fill>
  </x:fills>
  <x:borders count="16">
    <x:border/>
    <x:border>
      <x:left style="thin">
        <x:color rgb="FFE3E8EC"/>
      </x:left>
      <x:top style="thin">
        <x:color rgb="FFE3E8EC"/>
      </x:top>
      <x:bottom style="thin">
        <x:color rgb="FFE3E8EC"/>
      </x:bottom>
    </x:border>
    <x:border>
      <x:right style="thin">
        <x:color rgb="FFE3E8EC"/>
      </x:right>
      <x:top style="thin">
        <x:color rgb="FFE3E8EC"/>
      </x:top>
      <x:bottom style="thin">
        <x:color rgb="FFE3E8EC"/>
      </x:bottom>
    </x:border>
    <x:border>
      <x:right style="thin">
        <x:color rgb="FFE3E8EC"/>
      </x:right>
      <x:bottom style="thin">
        <x:color rgb="FFE3E8EC"/>
      </x:bottom>
    </x:border>
    <x:border>
      <x:left style="thin">
        <x:color rgb="FFE3E8EC"/>
      </x:left>
      <x:right style="thin">
        <x:color rgb="FFE3E8EC"/>
      </x:right>
      <x:bottom style="thin">
        <x:color rgb="FFE3E8EC"/>
      </x:bottom>
    </x:border>
    <x:border>
      <x:left style="thin">
        <x:color rgb="FFE3E8EC"/>
      </x:left>
      <x:bottom style="thin">
        <x:color rgb="FFE3E8EC"/>
      </x:bottom>
    </x:border>
    <x:border>
      <x:left style="thin">
        <x:color rgb="FFE3E8EC"/>
      </x:left>
      <x:right style="thin">
        <x:color rgb="FFE3E8EC"/>
      </x:right>
      <x:top style="thin">
        <x:color rgb="FFE3E8EC"/>
      </x:top>
      <x:bottom style="thin">
        <x:color rgb="FFE3E8EC"/>
      </x:bottom>
    </x:border>
    <x:border>
      <x:right style="thin">
        <x:color rgb="FFE3E8EC"/>
      </x:right>
      <x:top style="thin">
        <x:color rgb="FFE3E8EC"/>
      </x:top>
    </x:border>
    <x:border>
      <x:left style="thin">
        <x:color rgb="FFE3E8EC"/>
      </x:left>
      <x:right style="thin">
        <x:color rgb="FFE3E8EC"/>
      </x:right>
      <x:top style="thin">
        <x:color rgb="FFE3E8EC"/>
      </x:top>
    </x:border>
    <x:border>
      <x:left style="thin">
        <x:color rgb="FFE3E8EC"/>
      </x:left>
      <x:top style="thin">
        <x:color rgb="FFE3E8EC"/>
      </x:top>
    </x:border>
    <x:border>
      <x:top style="thin">
        <x:color rgb="FFE3E8EC"/>
      </x:top>
    </x:border>
    <x:border>
      <x:left style="thin">
        <x:color rgb="FFE3E8EC"/>
      </x:left>
    </x:border>
    <x:border>
      <x:right style="thin">
        <x:color rgb="FFE3E8EC"/>
      </x:right>
    </x:border>
    <x:border>
      <x:bottom style="thin">
        <x:color rgb="FFE3E8EC"/>
      </x:bottom>
    </x:border>
    <x:border>
      <x:top style="thin">
        <x:color rgb="FFE3E8EC"/>
      </x:top>
      <x:bottom style="thin">
        <x:color rgb="FFE3E8EC"/>
      </x:bottom>
    </x:border>
    <x:border>
      <x:bottom style="double">
        <x:color rgb="FF17324D"/>
      </x:bottom>
    </x:border>
  </x:borders>
  <x:cellStyleXfs count="1">
    <x:xf numFmtId="0" fontId="0" fillId="0" borderId="0"/>
  </x:cellStyleXfs>
  <x:cellXfs count="13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200" fontId="3" fillId="4" borderId="2" xfId="0" applyNumberFormat="1" applyFont="1" applyFill="1" applyBorder="1"/>
    <x:xf numFmtId="201" fontId="3" fillId="4" borderId="2" xfId="0" applyNumberFormat="1" applyFont="1" applyFill="1" applyBorder="1"/>
    <x:xf numFmtId="201" fontId="0" fillId="0" borderId="0" xfId="0" applyNumberFormat="1" applyFont="1" applyFill="1" applyBorder="1"/>
    <x:xf numFmtId="201" fontId="3" fillId="4" borderId="1"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2" xfId="0" applyNumberFormat="1" applyFont="1" applyFill="1" applyBorder="1"/>
    <x:xf numFmtId="0" fontId="0" fillId="0" borderId="6" xfId="0" applyNumberFormat="1" applyFont="1" applyFill="1" applyBorder="1"/>
    <x:xf numFmtId="0" fontId="0" fillId="0" borderId="1"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5" borderId="3" xfId="0" applyNumberFormat="1" applyFont="1" applyFill="1" applyBorder="1"/>
    <x:xf numFmtId="0" fontId="0" fillId="5" borderId="4" xfId="0" applyNumberFormat="1" applyFont="1" applyFill="1" applyBorder="1"/>
    <x:xf numFmtId="0" fontId="0" fillId="5" borderId="5"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5"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00" fontId="0" fillId="0" borderId="6" xfId="0" applyNumberFormat="1" applyFont="1" applyFill="1" applyBorder="1" applyAlignment="1">
      <x:alignment vertical="top" wrapText="1"/>
    </x:xf>
    <x:xf numFmtId="200" fontId="0" fillId="0" borderId="8" xfId="0" applyNumberFormat="1" applyFont="1" applyFill="1" applyBorder="1" applyAlignment="1">
      <x:alignment vertical="top" wrapText="1"/>
    </x:xf>
    <x:xf numFmtId="202" fontId="0" fillId="0" borderId="6" xfId="0" applyNumberFormat="1" applyFont="1" applyFill="1" applyBorder="1" applyAlignment="1">
      <x:alignment vertical="top" wrapText="1"/>
    </x:xf>
    <x:xf numFmtId="202" fontId="0" fillId="0" borderId="8" xfId="0" applyNumberFormat="1" applyFont="1" applyFill="1" applyBorder="1" applyAlignment="1">
      <x:alignment vertical="top" wrapText="1"/>
    </x:xf>
    <x:xf numFmtId="203" fontId="0" fillId="0" borderId="6" xfId="0" applyNumberFormat="1" applyFont="1" applyFill="1" applyBorder="1" applyAlignment="1">
      <x:alignment vertical="top" wrapText="1"/>
    </x:xf>
    <x:xf numFmtId="203" fontId="0" fillId="0" borderId="8"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4" fillId="2" borderId="0" xfId="0" applyNumberFormat="1" applyFont="1" applyFill="1" applyBorder="1"/>
    <x:xf numFmtId="0" fontId="0" fillId="3" borderId="9" xfId="0" applyNumberFormat="1" applyFont="1" applyFill="1" applyBorder="1"/>
    <x:xf numFmtId="0" fontId="0" fillId="3" borderId="10" xfId="0" applyNumberFormat="1" applyFont="1" applyFill="1" applyBorder="1"/>
    <x:xf numFmtId="0" fontId="0" fillId="3" borderId="7" xfId="0" applyNumberFormat="1" applyFont="1" applyFill="1" applyBorder="1"/>
    <x:xf numFmtId="0" fontId="0" fillId="3" borderId="11" xfId="0" applyNumberFormat="1" applyFont="1" applyFill="1" applyBorder="1"/>
    <x:xf numFmtId="0" fontId="0" fillId="3" borderId="12" xfId="0" applyNumberFormat="1" applyFont="1" applyFill="1" applyBorder="1"/>
    <x:xf numFmtId="0" fontId="0" fillId="3" borderId="5" xfId="0" applyNumberFormat="1" applyFont="1" applyFill="1" applyBorder="1"/>
    <x:xf numFmtId="0" fontId="0" fillId="3" borderId="13" xfId="0" applyNumberFormat="1" applyFont="1" applyFill="1" applyBorder="1"/>
    <x:xf numFmtId="0" fontId="0" fillId="3" borderId="3" xfId="0" applyNumberFormat="1" applyFont="1" applyFill="1" applyBorder="1"/>
    <x:xf numFmtId="0" fontId="0" fillId="3" borderId="9" xfId="0" applyNumberFormat="1" applyFont="1" applyFill="1" applyBorder="1" applyAlignment="1">
      <x:alignment wrapText="1"/>
    </x:xf>
    <x:xf numFmtId="0" fontId="0" fillId="3" borderId="10" xfId="0" applyNumberFormat="1" applyFont="1" applyFill="1" applyBorder="1" applyAlignment="1">
      <x:alignment wrapText="1"/>
    </x:xf>
    <x:xf numFmtId="0" fontId="0" fillId="3" borderId="7" xfId="0" applyNumberFormat="1" applyFont="1" applyFill="1" applyBorder="1" applyAlignment="1">
      <x:alignment wrapText="1"/>
    </x:xf>
    <x:xf numFmtId="0" fontId="0" fillId="3" borderId="11"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12" xfId="0" applyNumberFormat="1" applyFont="1" applyFill="1" applyBorder="1" applyAlignment="1">
      <x:alignment wrapText="1"/>
    </x:xf>
    <x:xf numFmtId="0" fontId="0" fillId="3" borderId="5" xfId="0" applyNumberFormat="1" applyFont="1" applyFill="1" applyBorder="1" applyAlignment="1">
      <x:alignment wrapText="1"/>
    </x:xf>
    <x:xf numFmtId="0" fontId="0" fillId="3" borderId="13" xfId="0" applyNumberFormat="1" applyFont="1" applyFill="1" applyBorder="1" applyAlignment="1">
      <x:alignment wrapText="1"/>
    </x:xf>
    <x:xf numFmtId="0" fontId="0" fillId="3" borderId="3" xfId="0" applyNumberFormat="1" applyFont="1" applyFill="1" applyBorder="1" applyAlignment="1">
      <x:alignment wrapText="1"/>
    </x:xf>
    <x:xf numFmtId="0" fontId="0" fillId="3" borderId="9" xfId="0" applyNumberFormat="1" applyFont="1" applyFill="1" applyBorder="1" applyAlignment="1">
      <x:alignment vertical="top" wrapText="1"/>
    </x:xf>
    <x:xf numFmtId="0" fontId="0" fillId="3" borderId="10" xfId="0" applyNumberFormat="1" applyFont="1" applyFill="1" applyBorder="1" applyAlignment="1">
      <x:alignment vertical="top" wrapText="1"/>
    </x:xf>
    <x:xf numFmtId="0" fontId="0" fillId="3" borderId="7" xfId="0" applyNumberFormat="1" applyFont="1" applyFill="1" applyBorder="1" applyAlignment="1">
      <x:alignment vertical="top" wrapText="1"/>
    </x:xf>
    <x:xf numFmtId="0" fontId="0" fillId="3" borderId="1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2" xfId="0" applyNumberFormat="1" applyFont="1" applyFill="1" applyBorder="1" applyAlignment="1">
      <x:alignment vertical="top" wrapText="1"/>
    </x:xf>
    <x:xf numFmtId="0" fontId="0" fillId="3" borderId="5" xfId="0" applyNumberFormat="1" applyFont="1" applyFill="1" applyBorder="1" applyAlignment="1">
      <x:alignment vertical="top" wrapText="1"/>
    </x:xf>
    <x:xf numFmtId="0" fontId="0" fillId="3" borderId="13" xfId="0" applyNumberFormat="1" applyFont="1" applyFill="1" applyBorder="1" applyAlignment="1">
      <x:alignment vertical="top" wrapText="1"/>
    </x:xf>
    <x:xf numFmtId="0" fontId="0" fillId="3" borderId="3"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0" fillId="7" borderId="0" xfId="0" applyNumberFormat="1" applyFont="1" applyFill="1" applyBorder="1"/>
    <x:xf numFmtId="0" fontId="0" fillId="7" borderId="9" xfId="0" applyNumberFormat="1" applyFont="1" applyFill="1" applyBorder="1"/>
    <x:xf numFmtId="0" fontId="0" fillId="7" borderId="10" xfId="0" applyNumberFormat="1" applyFont="1" applyFill="1" applyBorder="1"/>
    <x:xf numFmtId="0" fontId="0" fillId="7" borderId="7" xfId="0" applyNumberFormat="1" applyFont="1" applyFill="1" applyBorder="1"/>
    <x:xf numFmtId="0" fontId="0" fillId="7" borderId="11" xfId="0" applyNumberFormat="1" applyFont="1" applyFill="1" applyBorder="1"/>
    <x:xf numFmtId="0" fontId="0" fillId="7" borderId="12" xfId="0" applyNumberFormat="1" applyFont="1" applyFill="1" applyBorder="1"/>
    <x:xf numFmtId="0" fontId="0" fillId="7" borderId="5" xfId="0" applyNumberFormat="1" applyFont="1" applyFill="1" applyBorder="1"/>
    <x:xf numFmtId="0" fontId="0" fillId="7" borderId="13" xfId="0" applyNumberFormat="1" applyFont="1" applyFill="1" applyBorder="1"/>
    <x:xf numFmtId="0" fontId="0" fillId="7" borderId="3" xfId="0" applyNumberFormat="1" applyFont="1" applyFill="1" applyBorder="1"/>
    <x:xf numFmtId="0" fontId="0" fillId="7" borderId="9" xfId="0" applyNumberFormat="1" applyFont="1" applyFill="1" applyBorder="1" applyAlignment="1">
      <x:alignment wrapText="1"/>
    </x:xf>
    <x:xf numFmtId="0" fontId="0" fillId="7" borderId="10" xfId="0" applyNumberFormat="1" applyFont="1" applyFill="1" applyBorder="1" applyAlignment="1">
      <x:alignment wrapText="1"/>
    </x:xf>
    <x:xf numFmtId="0" fontId="0" fillId="7" borderId="7" xfId="0" applyNumberFormat="1" applyFont="1" applyFill="1" applyBorder="1" applyAlignment="1">
      <x:alignment wrapText="1"/>
    </x:xf>
    <x:xf numFmtId="0" fontId="0" fillId="7" borderId="11"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12" xfId="0" applyNumberFormat="1" applyFont="1" applyFill="1" applyBorder="1" applyAlignment="1">
      <x:alignment wrapText="1"/>
    </x:xf>
    <x:xf numFmtId="0" fontId="0" fillId="7" borderId="5" xfId="0" applyNumberFormat="1" applyFont="1" applyFill="1" applyBorder="1" applyAlignment="1">
      <x:alignment wrapText="1"/>
    </x:xf>
    <x:xf numFmtId="0" fontId="0" fillId="7" borderId="13" xfId="0" applyNumberFormat="1" applyFont="1" applyFill="1" applyBorder="1" applyAlignment="1">
      <x:alignment wrapText="1"/>
    </x:xf>
    <x:xf numFmtId="0" fontId="0" fillId="7" borderId="3" xfId="0" applyNumberFormat="1" applyFont="1" applyFill="1" applyBorder="1" applyAlignment="1">
      <x:alignment wrapText="1"/>
    </x:xf>
    <x:xf numFmtId="0" fontId="0" fillId="7" borderId="9" xfId="0" applyNumberFormat="1" applyFont="1" applyFill="1" applyBorder="1" applyAlignment="1">
      <x:alignment vertical="top" wrapText="1"/>
    </x:xf>
    <x:xf numFmtId="0" fontId="0" fillId="7" borderId="10" xfId="0" applyNumberFormat="1" applyFont="1" applyFill="1" applyBorder="1" applyAlignment="1">
      <x:alignment vertical="top" wrapText="1"/>
    </x:xf>
    <x:xf numFmtId="0" fontId="0" fillId="7" borderId="7" xfId="0" applyNumberFormat="1" applyFont="1" applyFill="1" applyBorder="1" applyAlignment="1">
      <x:alignment vertical="top" wrapText="1"/>
    </x:xf>
    <x:xf numFmtId="0" fontId="0" fillId="7" borderId="11"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7" borderId="12" xfId="0" applyNumberFormat="1" applyFont="1" applyFill="1" applyBorder="1" applyAlignment="1">
      <x:alignment vertical="top" wrapText="1"/>
    </x:xf>
    <x:xf numFmtId="0" fontId="0" fillId="7" borderId="5" xfId="0" applyNumberFormat="1" applyFont="1" applyFill="1" applyBorder="1" applyAlignment="1">
      <x:alignment vertical="top" wrapText="1"/>
    </x:xf>
    <x:xf numFmtId="0" fontId="0" fillId="7" borderId="13" xfId="0" applyNumberFormat="1" applyFont="1" applyFill="1" applyBorder="1" applyAlignment="1">
      <x:alignment vertical="top" wrapText="1"/>
    </x:xf>
    <x:xf numFmtId="0" fontId="0" fillId="7" borderId="3" xfId="0" applyNumberFormat="1" applyFont="1" applyFill="1" applyBorder="1" applyAlignment="1">
      <x:alignment vertical="top" wrapText="1"/>
    </x:xf>
    <x:xf numFmtId="0" fontId="6" fillId="0" borderId="0" xfId="0" applyNumberFormat="1" applyFont="1" applyFill="1" applyBorder="1"/>
    <x:xf numFmtId="0" fontId="7" fillId="2" borderId="0" xfId="0" applyNumberFormat="1" applyFont="1" applyFill="1" applyBorder="1" applyAlignment="1">
      <x:alignment vertical="center"/>
    </x:xf>
    <x:xf numFmtId="0" fontId="8" fillId="2" borderId="0" xfId="0" applyNumberFormat="1" applyFont="1" applyFill="1" applyBorder="1"/>
    <x:xf numFmtId="0" fontId="9" fillId="5" borderId="0" xfId="0" applyNumberFormat="1" applyFont="1" applyFill="1" applyBorder="1"/>
    <x:xf numFmtId="0" fontId="9" fillId="5" borderId="0" xfId="0" applyNumberFormat="1" applyFont="1" applyFill="1" applyBorder="1" applyAlignment="1">
      <x:alignment wrapText="1"/>
    </x:xf>
    <x:xf numFmtId="0" fontId="9" fillId="5" borderId="0" xfId="0" applyNumberFormat="1" applyFont="1" applyFill="1" applyBorder="1" applyAlignment="1">
      <x:alignment vertical="center" wrapText="1"/>
    </x:xf>
    <x:xf numFmtId="0" fontId="9" fillId="5" borderId="13" xfId="0" applyNumberFormat="1" applyFont="1" applyFill="1" applyBorder="1" applyAlignment="1">
      <x:alignment vertical="center" wrapText="1"/>
    </x:xf>
    <x:xf numFmtId="0" fontId="0" fillId="0" borderId="14" xfId="0" applyNumberFormat="1" applyFont="1" applyFill="1" applyBorder="1"/>
    <x:xf numFmtId="0" fontId="10" fillId="0" borderId="14" xfId="0" applyNumberFormat="1" applyFont="1" applyFill="1" applyBorder="1"/>
    <x:xf numFmtId="0" fontId="10" fillId="0" borderId="14" xfId="0" applyNumberFormat="1" applyFont="1" applyFill="1" applyBorder="1" applyAlignment="1">
      <x:alignment wrapText="1"/>
    </x:xf>
    <x:xf numFmtId="0" fontId="10" fillId="0" borderId="14" xfId="0" applyNumberFormat="1" applyFont="1" applyFill="1" applyBorder="1" applyAlignment="1">
      <x:alignment vertical="top" wrapText="1"/>
    </x:xf>
    <x:xf numFmtId="200" fontId="10" fillId="0" borderId="14" xfId="0" applyNumberFormat="1" applyFont="1" applyFill="1" applyBorder="1" applyAlignment="1">
      <x:alignment vertical="top" wrapText="1"/>
    </x:xf>
    <x:xf numFmtId="202" fontId="10" fillId="0" borderId="14" xfId="0" applyNumberFormat="1" applyFont="1" applyFill="1" applyBorder="1" applyAlignment="1">
      <x:alignment vertical="top" wrapText="1"/>
    </x:xf>
    <x:xf numFmtId="201" fontId="10" fillId="0" borderId="14" xfId="0" applyNumberFormat="1" applyFont="1" applyFill="1" applyBorder="1" applyAlignment="1">
      <x:alignment vertical="top" wrapText="1"/>
    </x:xf>
    <x:xf numFmtId="203" fontId="10" fillId="0" borderId="14" xfId="0" applyNumberFormat="1" applyFont="1" applyFill="1" applyBorder="1" applyAlignment="1">
      <x:alignment vertical="top" wrapText="1"/>
    </x:xf>
    <x:xf numFmtId="204" fontId="10" fillId="0" borderId="14" xfId="0" applyNumberFormat="1" applyFont="1" applyFill="1" applyBorder="1" applyAlignment="1">
      <x:alignment vertical="top" wrapText="1"/>
    </x:xf>
    <x:xf numFmtId="205" fontId="0" fillId="0" borderId="6" xfId="0" applyNumberFormat="1" applyFont="1" applyFill="1" applyBorder="1" applyAlignment="1">
      <x:alignment vertical="top" wrapText="1"/>
    </x:xf>
    <x:xf numFmtId="205" fontId="0" fillId="0" borderId="8" xfId="0" applyNumberFormat="1" applyFont="1" applyFill="1" applyBorder="1" applyAlignment="1">
      <x:alignment vertical="top" wrapText="1"/>
    </x:xf>
    <x:xf numFmtId="0" fontId="11" fillId="3" borderId="0" xfId="0" applyNumberFormat="1" applyFont="1" applyFill="1" applyBorder="1"/>
    <x:xf numFmtId="0" fontId="11" fillId="3" borderId="15" xfId="0" applyNumberFormat="1" applyFont="1" applyFill="1" applyBorder="1"/>
    <x:xf numFmtId="205" fontId="11" fillId="3" borderId="15" xfId="0" applyNumberFormat="1" applyFont="1" applyFill="1" applyBorder="1"/>
    <x:xf numFmtId="0" fontId="0" fillId="0" borderId="13" xfId="0" applyNumberFormat="1" applyFont="1" applyFill="1" applyBorder="1"/>
    <x:xf numFmtId="0" fontId="0" fillId="0" borderId="10" xfId="0" applyNumberFormat="1" applyFont="1" applyFill="1" applyBorder="1"/>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0" xfId="0" applyNumberFormat="1" applyFont="1" applyFill="1" applyBorder="1" applyAlignment="1">
      <x:alignment wrapText="1"/>
    </x:xf>
    <x:xf numFmtId="0" fontId="7" fillId="2" borderId="0" xfId="0" applyNumberFormat="1" applyFont="1" applyFill="1" applyBorder="1"/>
  </x:cellXfs>
  <x:cellStyles count="1">
    <x:cellStyle name="Normal" xfId="0"/>
  </x:cellStyles>
  <x:dxfs count="3">
    <x:dxf>
      <x:font>
        <x:b/>
        <x:color rgb="FF8A1C14"/>
      </x:font>
      <x:fill>
        <x:patternFill patternType="solid">
          <x:bgColor rgb="FFFCE8E6"/>
        </x:patternFill>
      </x:fill>
    </x:dxf>
    <x:dxf>
      <x:font>
        <x:b/>
        <x:color rgb="FF7A4B00"/>
      </x:font>
      <x:fill>
        <x:patternFill patternType="solid">
          <x:bgColor rgb="FFFFF4D6"/>
        </x:patternFill>
      </x:fill>
    </x:dxf>
    <x:dxf>
      <x:font>
        <x:b/>
        <x:color rgb="FF176B35"/>
      </x:font>
      <x:fill>
        <x:patternFill patternType="solid">
          <x:bgColor rgb="FFE6F4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8b25af86cd42f2" /><Relationship Type="http://schemas.openxmlformats.org/officeDocument/2006/relationships/theme" Target="/xl/theme/theme1.xml" Id="R557c1a1185454c1f" /><Relationship Type="http://schemas.openxmlformats.org/officeDocument/2006/relationships/sharedStrings" Target="/xl/sharedStrings.xml" Id="R581e53464e8b471f" /><Relationship Type="http://schemas.openxmlformats.org/officeDocument/2006/relationships/worksheet" Target="/xl/worksheets/sheet1.xml" Id="Rb89000fc9b764df6" /><Relationship Type="http://schemas.openxmlformats.org/officeDocument/2006/relationships/worksheet" Target="/xl/worksheets/sheet2.xml" Id="R7036811be1e84d12" /><Relationship Type="http://schemas.openxmlformats.org/officeDocument/2006/relationships/worksheet" Target="/xl/worksheets/sheet3.xml" Id="R6199493a124945fd" /></Relationships>
</file>

<file path=xl/drawings/_rels/drawing1.xml.rels>&#65279;<?xml version="1.0" encoding="utf-8"?><Relationships xmlns="http://schemas.openxmlformats.org/package/2006/relationships"><Relationship Type="http://schemas.openxmlformats.org/officeDocument/2006/relationships/chart" Target="/xl/drawings/charts/chart1.xml" Id="Rb6da5aa80f5e479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Score global par source (/100)</a:t>
            </a:r>
          </a:p>
        </c:rich>
      </c:tx>
      <c:overlay val="0"/>
    </c:title>
    <c:plotArea>
      <c:barChart>
        <c:barDir val="col"/>
        <c:varyColors val="0"/>
        <c:ser>
          <c:idx val="0"/>
          <c:order val="0"/>
          <c:tx>
            <c:v>Score global</c:v>
          </c:tx>
          <c:cat>
            <c:strRef>
              <c:f>'Synthèse'!$N$2:$N$9</c:f>
              <c:strCache>
                <c:ptCount val="0"/>
              </c:strCache>
            </c:strRef>
          </c:cat>
          <c:val>
            <c:numRef>
              <c:f>'Synthèse'!$O$2:$O$9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ax val="100"/>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17</xdr:row>
      <xdr:rowOff>0</xdr:rowOff>
    </xdr:from>
    <xdr:to>
      <xdr:col>7</xdr:col>
      <xdr:colOff>0</xdr:colOff>
      <xdr:row>35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6da5aa80f5e4799"/>
        </a:graphicData>
      </a:graphic>
    </xdr:graphicFrame>
    <xdr:clientData/>
  </xdr:twoCellAnchor>
</xdr:wsDr>
</file>

<file path=xl/tables/table1.xml><?xml version="1.0" encoding="utf-8"?>
<x:table xmlns:x="http://schemas.openxmlformats.org/spreadsheetml/2006/main" id="1" name="SourceAnalysisMatrix" displayName="SourceAnalysisMatrix" ref="A4:AH12" headerRowCount="1" totalsRowCount="0" totalsRowShown="0">
  <x:autoFilter ref="A4:AH12"/>
  <x:tableColumns count="34">
    <x:tableColumn id="1" name="ID"/>
    <x:tableColumn id="2" name="Source"/>
    <x:tableColumn id="3" name="Version"/>
    <x:tableColumn id="4" name="Type de données"/>
    <x:tableColumn id="5" name="Usage dans logK25"/>
    <x:tableColumn id="6" name="Format / acquisition"/>
    <x:tableColumn id="7" name="Lignes consolidées"/>
    <x:tableColumn id="8" name="Part du jeu"/>
    <x:tableColumn id="9" name="Constante directe ?"/>
    <x:tableColumn id="10" name="Champ conditions renseigné"/>
    <x:tableColumn id="11" name="Références renseignées"/>
    <x:tableColumn id="12" name="Commentaires renseignés"/>
    <x:tableColumn id="13" name="Licence / droits"/>
    <x:tableColumn id="14" name="Usage commercial"/>
    <x:tableColumn id="15" name="Redistribution"/>
    <x:tableColumn id="16" name="Statut juridique"/>
    <x:tableColumn id="17" name="Pertinence thermo (1–5)"/>
    <x:tableColumn id="18" name="Traçabilité (1–5)"/>
    <x:tableColumn id="19" name="Conditions (1–5)"/>
    <x:tableColumn id="20" name="Intégrabilité (1–5)"/>
    <x:tableColumn id="21" name="Clarté juridique (1–5)"/>
    <x:tableColumn id="22" name="Couverture (1–5)"/>
    <x:tableColumn id="23" name="Score scientifique /100"/>
    <x:tableColumn id="24" name="Score global /100"/>
    <x:tableColumn id="25" name="Risque juridique"/>
    <x:tableColumn id="26" name="Recommandation"/>
    <x:tableColumn id="27" name="Points forts"/>
    <x:tableColumn id="28" name="Limites / biais"/>
    <x:tableColumn id="29" name="Action requise"/>
    <x:tableColumn id="30" name="URL officielle"/>
    <x:tableColumn id="31" name="DOI / identifiant"/>
    <x:tableColumn id="32" name="Attribution requise"/>
    <x:tableColumn id="33" name="Transformations logK25"/>
    <x:tableColumn id="34" name="Revue du regist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619f473a321429b" /></Relationships>
</file>

<file path=xl/worksheets/_rels/sheet2.xml.rels>&#65279;<?xml version="1.0" encoding="utf-8"?><Relationships xmlns="http://schemas.openxmlformats.org/package/2006/relationships"><Relationship Type="http://schemas.openxmlformats.org/officeDocument/2006/relationships/table" Target="/xl/tables/table1.xml" Id="R192e04db6fd24f3c" /></Relationships>
</file>

<file path=xl/worksheets/sheet1.xml><?xml version="1.0" encoding="utf-8"?>
<x:worksheet xmlns:x="http://schemas.openxmlformats.org/spreadsheetml/2006/main">
  <x:sheetViews>
    <x:sheetView showGridLines="0" workbookViewId="0"/>
  </x:sheetViews>
  <x:sheetFormatPr defaultRowHeight="15"/>
  <x:cols>
    <x:col min="14" max="14" width="2" hidden="0" customWidth="1"/>
    <x:col min="15" max="15" width="2" hidden="0" customWidth="1"/>
    <x:col min="1" max="1" width="28" hidden="0" customWidth="1"/>
    <x:col min="2" max="2" width="13" hidden="0" customWidth="1"/>
    <x:col min="3" max="3" width="13" hidden="0" customWidth="1"/>
    <x:col min="4" max="4" width="15" hidden="0" customWidth="1"/>
    <x:col min="5" max="5" width="15" hidden="0" customWidth="1"/>
    <x:col min="6" max="6" width="16" hidden="0" customWidth="1"/>
    <x:col min="7" max="7" width="37" hidden="0" customWidth="1"/>
    <x:col min="8" max="8" width="3" hidden="0" customWidth="1"/>
    <x:col min="9" max="9" width="17" hidden="0" customWidth="1"/>
    <x:col min="10" max="10" width="17" hidden="0" customWidth="1"/>
    <x:col min="11" max="11" width="17" hidden="0" customWidth="1"/>
    <x:col min="12" max="12" width="17" hidden="0" customWidth="1"/>
  </x:cols>
  <x:sheetData>
    <x:row r="1" ht="34" customHeight="1">
      <x:c r="A1" s="110" t="str">
        <x:v>Matrice d’analyse des sources — logK25</x:v>
      </x:c>
      <x:c r="B1" s="110"/>
      <x:c r="C1" s="110"/>
      <x:c r="D1" s="110"/>
      <x:c r="E1" s="110"/>
      <x:c r="F1" s="110"/>
      <x:c r="G1" s="110"/>
      <x:c r="H1" s="110"/>
      <x:c r="I1" s="110"/>
      <x:c r="J1" s="110"/>
      <x:c r="K1" s="110"/>
      <x:c r="L1" s="110"/>
      <x:c r="N1" s="109" t="str">
        <x:v>Source</x:v>
      </x:c>
      <x:c r="O1" s="109" t="str">
        <x:v>Score global</x:v>
      </x:c>
    </x:row>
    <x:row r="2" ht="24" customHeight="1">
      <x:c r="A2" s="5" t="str">
        <x:v>Aide à la décision scientifique, technique et juridique — état au 26 août 2026</x:v>
      </x:c>
      <x:c r="B2" s="5"/>
      <x:c r="C2" s="5"/>
      <x:c r="D2" s="5"/>
      <x:c r="E2" s="5"/>
      <x:c r="F2" s="5"/>
      <x:c r="G2" s="5"/>
      <x:c r="H2" s="5"/>
      <x:c r="I2" s="5"/>
      <x:c r="J2" s="5"/>
      <x:c r="K2" s="5"/>
      <x:c r="L2" s="5"/>
      <x:c r="N2" s="109" t="str">
        <x:v>AqSolDB</x:v>
      </x:c>
      <x:c r="O2" s="109" t="n">
        <x:f>'Matrice'!X5</x:f>
        <x:v>74</x:v>
      </x:c>
    </x:row>
    <x:row r="3">
      <x:c r="N3" s="109" t="str">
        <x:v>GWB</x:v>
      </x:c>
      <x:c r="O3" s="109" t="n">
        <x:f>'Matrice'!X6</x:f>
        <x:v>68</x:v>
      </x:c>
    </x:row>
    <x:row r="4" ht="32" customHeight="1">
      <x:c r="A4" s="8" t="str">
        <x:v>Lignes consolidées</x:v>
      </x:c>
      <x:c r="B4" s="10" t="n">
        <x:v>142780</x:v>
      </x:c>
      <x:c r="D4" s="8" t="str">
        <x:v>Familles intégrées</x:v>
      </x:c>
      <x:c r="E4" s="11" t="n">
        <x:v>8</x:v>
      </x:c>
      <x:c r="F4" s="12"/>
      <x:c r="G4" s="13" t="str">
        <x:v>Revue juridique requise</x:v>
      </x:c>
      <x:c r="H4" s="11" t="n">
        <x:v>5</x:v>
      </x:c>
      <x:c r="J4" s="8" t="str">
        <x:v>Sources ≥ 80/100</x:v>
      </x:c>
      <x:c r="K4" s="9" t="n">
        <x:f>COUNTIF('Matrice'!$X$5:$X$12,"&gt;=80")</x:f>
        <x:v>5</x:v>
      </x:c>
      <x:c r="N4" s="109" t="str">
        <x:v>IUPAC</x:v>
      </x:c>
      <x:c r="O4" s="109" t="n">
        <x:f>'Matrice'!X7</x:f>
        <x:v>86</x:v>
      </x:c>
    </x:row>
    <x:row r="5">
      <x:c r="N5" s="109" t="str">
        <x:v>JESS</x:v>
      </x:c>
      <x:c r="O5" s="109" t="n">
        <x:f>'Matrice'!X8</x:f>
        <x:v>85</x:v>
      </x:c>
    </x:row>
    <x:row r="6" ht="30" customHeight="1">
      <x:c r="A6" s="29" t="str">
        <x:v>Source</x:v>
      </x:c>
      <x:c r="B6" s="30" t="str">
        <x:v>Lignes</x:v>
      </x:c>
      <x:c r="C6" s="30" t="str">
        <x:v>Part du jeu</x:v>
      </x:c>
      <x:c r="D6" s="30" t="str">
        <x:v>Score scientifique</x:v>
      </x:c>
      <x:c r="E6" s="30" t="str">
        <x:v>Score global</x:v>
      </x:c>
      <x:c r="F6" s="30" t="str">
        <x:v>Risque juridique</x:v>
      </x:c>
      <x:c r="G6" s="31" t="str">
        <x:v>Orientation</x:v>
      </x:c>
      <x:c r="I6" s="53" t="str">
        <x:v>Constats clés</x:v>
      </x:c>
      <x:c r="J6" s="53"/>
      <x:c r="K6" s="53"/>
      <x:c r="L6" s="53"/>
      <x:c r="N6" s="109" t="str">
        <x:v>Medusa</x:v>
      </x:c>
      <x:c r="O6" s="109" t="n">
        <x:f>'Matrice'!X9</x:f>
        <x:v>55</x:v>
      </x:c>
    </x:row>
    <x:row r="7" ht="24" customHeight="1">
      <x:c r="A7" s="38" t="str">
        <x:v>AqSolDB</x:v>
      </x:c>
      <x:c r="B7" s="44" t="n">
        <x:f>'Matrice'!G5</x:f>
        <x:v>9859</x:v>
      </x:c>
      <x:c r="C7" s="46" t="n">
        <x:f>'Matrice'!H5</x:f>
        <x:v>0.06905028715506373</x:v>
      </x:c>
      <x:c r="D7" s="48" t="n">
        <x:f>'Matrice'!W5</x:f>
        <x:v>67.5</x:v>
      </x:c>
      <x:c r="E7" s="48" t="n">
        <x:f>'Matrice'!X5</x:f>
        <x:v>74</x:v>
      </x:c>
      <x:c r="F7" s="39" t="str">
        <x:f>'Matrice'!Y5</x:f>
        <x:v>Faible</x:v>
      </x:c>
      <x:c r="G7" s="40" t="str">
        <x:f>'Matrice'!Z5</x:f>
        <x:v>Complément distinct — ne pas mélanger aux logK</x:v>
      </x:c>
      <x:c r="I7" s="71" t="str">
        <x:v>• JESS et NIST SRD 46 représentent ensemble 77,3 % des lignes consolidées.
• NIST, PSI/Nagra et Thermoddem ont une très forte valeur scientifique, mais leur diffusion exige une clarification des droits.
• IUPAC est la source la plus immédiatement exploitable pour l’acido-basicité dans un cadre non commercial.
• AqSolDB doit rester séparée : logS est un proxy et non un logK thermodynamique direct.
• Les jeux GWB doivent être traités individuellement ; Medusa présente le risque juridique le plus élevé.</x:v>
      </x:c>
      <x:c r="J7" s="72"/>
      <x:c r="K7" s="72"/>
      <x:c r="L7" s="73"/>
      <x:c r="N7" s="109" t="str">
        <x:v>NIST SRD 46</x:v>
      </x:c>
      <x:c r="O7" s="109" t="n">
        <x:f>'Matrice'!X10</x:f>
        <x:v>82</x:v>
      </x:c>
    </x:row>
    <x:row r="8" ht="24" customHeight="1">
      <x:c r="A8" s="38" t="str">
        <x:v>Jeux thermodynamiques GWB</x:v>
      </x:c>
      <x:c r="B8" s="44" t="n">
        <x:f>'Matrice'!G6</x:f>
        <x:v>11890</x:v>
      </x:c>
      <x:c r="C8" s="46" t="n">
        <x:f>'Matrice'!H6</x:f>
        <x:v>0.08327496848298081</x:v>
      </x:c>
      <x:c r="D8" s="48" t="n">
        <x:f>'Matrice'!W6</x:f>
        <x:v>75</x:v>
      </x:c>
      <x:c r="E8" s="48" t="n">
        <x:f>'Matrice'!X6</x:f>
        <x:v>68</x:v>
      </x:c>
      <x:c r="F8" s="39" t="str">
        <x:f>'Matrice'!Y6</x:f>
        <x:v>Élevé</x:v>
      </x:c>
      <x:c r="G8" s="40" t="str">
        <x:f>'Matrice'!Z6</x:f>
        <x:v>Intégrer jeu par jeu après revue des droits</x:v>
      </x:c>
      <x:c r="I8" s="74"/>
      <x:c r="J8" s="75"/>
      <x:c r="K8" s="75"/>
      <x:c r="L8" s="76"/>
      <x:c r="N8" s="109" t="str">
        <x:v>PSI/Nagra</x:v>
      </x:c>
      <x:c r="O8" s="109" t="n">
        <x:f>'Matrice'!X11</x:f>
        <x:v>82</x:v>
      </x:c>
    </x:row>
    <x:row r="9" ht="24" customHeight="1">
      <x:c r="A9" s="38" t="str">
        <x:v>IUPAC Digitized pKa Dataset</x:v>
      </x:c>
      <x:c r="B9" s="44" t="n">
        <x:f>'Matrice'!G7</x:f>
        <x:v>7378</x:v>
      </x:c>
      <x:c r="C9" s="46" t="n">
        <x:f>'Matrice'!H7</x:f>
        <x:v>0.05167390390811038</x:v>
      </x:c>
      <x:c r="D9" s="48" t="n">
        <x:f>'Matrice'!W7</x:f>
        <x:v>87.5</x:v>
      </x:c>
      <x:c r="E9" s="48" t="n">
        <x:f>'Matrice'!X7</x:f>
        <x:v>86</x:v>
      </x:c>
      <x:c r="F9" s="39" t="str">
        <x:f>'Matrice'!Y7</x:f>
        <x:v>Faible</x:v>
      </x:c>
      <x:c r="G9" s="40" t="str">
        <x:f>'Matrice'!Z7</x:f>
        <x:v>Prioritaire pour l’acido-basicité — non commercial</x:v>
      </x:c>
      <x:c r="I9" s="74"/>
      <x:c r="J9" s="75"/>
      <x:c r="K9" s="75"/>
      <x:c r="L9" s="76"/>
      <x:c r="N9" s="109" t="str">
        <x:v>Thermoddem</x:v>
      </x:c>
      <x:c r="O9" s="109" t="n">
        <x:f>'Matrice'!X12</x:f>
        <x:v>80</x:v>
      </x:c>
    </x:row>
    <x:row r="10" ht="24" customHeight="1">
      <x:c r="A10" s="38" t="str">
        <x:v>JESS Thermodynamic Reaction Database</x:v>
      </x:c>
      <x:c r="B10" s="44" t="n">
        <x:f>'Matrice'!G8</x:f>
        <x:v>66426</x:v>
      </x:c>
      <x:c r="C10" s="46" t="n">
        <x:f>'Matrice'!H8</x:f>
        <x:v>0.46523322594200867</x:v>
      </x:c>
      <x:c r="D10" s="48" t="n">
        <x:f>'Matrice'!W8</x:f>
        <x:v>86.25</x:v>
      </x:c>
      <x:c r="E10" s="48" t="n">
        <x:f>'Matrice'!X8</x:f>
        <x:v>85</x:v>
      </x:c>
      <x:c r="F10" s="39" t="str">
        <x:f>'Matrice'!Y8</x:f>
        <x:v>Faible</x:v>
      </x:c>
      <x:c r="G10" s="40" t="str">
        <x:f>'Matrice'!Z8</x:f>
        <x:v>Source cœur — attribution, notice et contrôle d’extraction</x:v>
      </x:c>
      <x:c r="I10" s="74"/>
      <x:c r="J10" s="75"/>
      <x:c r="K10" s="75"/>
      <x:c r="L10" s="76"/>
    </x:row>
    <x:row r="11" ht="24" customHeight="1">
      <x:c r="A11" s="38" t="str">
        <x:v>Bases Medusa/Hydra</x:v>
      </x:c>
      <x:c r="B11" s="44" t="n">
        <x:f>'Matrice'!G9</x:f>
        <x:v>1082</x:v>
      </x:c>
      <x:c r="C11" s="46" t="n">
        <x:f>'Matrice'!H9</x:f>
        <x:v>0.0075780921697716766</x:v>
      </x:c>
      <x:c r="D11" s="48" t="n">
        <x:f>'Matrice'!W9</x:f>
        <x:v>63.75</x:v>
      </x:c>
      <x:c r="E11" s="48" t="n">
        <x:f>'Matrice'!X9</x:f>
        <x:v>55</x:v>
      </x:c>
      <x:c r="F11" s="39" t="str">
        <x:f>'Matrice'!Y9</x:f>
        <x:v>Critique</x:v>
      </x:c>
      <x:c r="G11" s="40" t="str">
        <x:f>'Matrice'!Z9</x:f>
        <x:v>Usage interne seulement jusqu’à clarification</x:v>
      </x:c>
      <x:c r="I11" s="74"/>
      <x:c r="J11" s="75"/>
      <x:c r="K11" s="75"/>
      <x:c r="L11" s="76"/>
    </x:row>
    <x:row r="12" ht="24" customHeight="1">
      <x:c r="A12" s="38" t="str">
        <x:v>NIST SRD 46</x:v>
      </x:c>
      <x:c r="B12" s="44" t="n">
        <x:f>'Matrice'!G10</x:f>
        <x:v>43930</x:v>
      </x:c>
      <x:c r="C12" s="46" t="n">
        <x:f>'Matrice'!H10</x:f>
        <x:v>0.30767614511836394</x:v>
      </x:c>
      <x:c r="D12" s="48" t="n">
        <x:f>'Matrice'!W10</x:f>
        <x:v>97.5</x:v>
      </x:c>
      <x:c r="E12" s="48" t="n">
        <x:f>'Matrice'!X10</x:f>
        <x:v>82</x:v>
      </x:c>
      <x:c r="F12" s="39" t="str">
        <x:f>'Matrice'!Y10</x:f>
        <x:v>Critique</x:v>
      </x:c>
      <x:c r="G12" s="40" t="str">
        <x:f>'Matrice'!Z10</x:f>
        <x:v>Source cœur scientifique — diffusion à sécuriser</x:v>
      </x:c>
      <x:c r="I12" s="77"/>
      <x:c r="J12" s="78"/>
      <x:c r="K12" s="78"/>
      <x:c r="L12" s="79"/>
    </x:row>
    <x:row r="13" ht="42" customHeight="1">
      <x:c r="A13" s="38" t="str">
        <x:v>PSI/Nagra Chemical Thermodynamic Database</x:v>
      </x:c>
      <x:c r="B13" s="44" t="n">
        <x:f>'Matrice'!G11</x:f>
        <x:v>1104</x:v>
      </x:c>
      <x:c r="C13" s="46" t="n">
        <x:f>'Matrice'!H11</x:f>
        <x:v>0.0077321753747023395</x:v>
      </x:c>
      <x:c r="D13" s="48" t="n">
        <x:f>'Matrice'!W11</x:f>
        <x:v>92.5</x:v>
      </x:c>
      <x:c r="E13" s="48" t="n">
        <x:f>'Matrice'!X11</x:f>
        <x:v>82</x:v>
      </x:c>
      <x:c r="F13" s="39" t="str">
        <x:f>'Matrice'!Y11</x:f>
        <x:v>Élevé</x:v>
      </x:c>
      <x:c r="G13" s="40" t="str">
        <x:f>'Matrice'!Z11</x:f>
        <x:v>Source cœur ciblée — revue juridique</x:v>
      </x:c>
    </x:row>
    <x:row r="14" ht="42" customHeight="1">
      <x:c r="A14" s="41" t="str">
        <x:v>Thermoddem</x:v>
      </x:c>
      <x:c r="B14" s="45" t="n">
        <x:f>'Matrice'!G12</x:f>
        <x:v>3579</x:v>
      </x:c>
      <x:c r="C14" s="47" t="n">
        <x:f>'Matrice'!H12</x:f>
        <x:v>0.025066535929401876</x:v>
      </x:c>
      <x:c r="D14" s="49" t="n">
        <x:f>'Matrice'!W12</x:f>
        <x:v>90</x:v>
      </x:c>
      <x:c r="E14" s="49" t="n">
        <x:f>'Matrice'!X12</x:f>
        <x:v>80</x:v>
      </x:c>
      <x:c r="F14" s="42" t="str">
        <x:f>'Matrice'!Y12</x:f>
        <x:v>Élevé</x:v>
      </x:c>
      <x:c r="G14" s="43" t="str">
        <x:f>'Matrice'!Z12</x:f>
        <x:v>Source cœur multi-format — confirmer la licence</x:v>
      </x:c>
      <x:c r="I14" s="81" t="str">
        <x:v>Décision de publication recommandée</x:v>
      </x:c>
      <x:c r="J14" s="81"/>
      <x:c r="K14" s="81"/>
      <x:c r="L14" s="81"/>
    </x:row>
    <x:row r="15" ht="40" customHeight="1">
      <x:c r="A15" s="52" t="str">
        <x:v>Lecture : le score scientifique exclut la clarté juridique ; le score global l’intègre à 20 %. Les parts ne s’additionnent pas nécessairement à 100 % car une ligne fusionnée peut contenir plusieurs sources.</x:v>
      </x:c>
      <x:c r="B15" s="52"/>
      <x:c r="C15" s="52"/>
      <x:c r="D15" s="52"/>
      <x:c r="E15" s="52"/>
      <x:c r="F15" s="52"/>
      <x:c r="G15" s="52"/>
      <x:c r="I15" s="100" t="str">
        <x:v>Publier uniquement les contributions dont les conditions sont documentées ou formellement autorisées. Maintenir une attribution source par ligne, isoler les proxys logS, et garder sous embargo de redistribution les sources marquées « revue institutionnelle » jusqu’à validation SDVI/licence.</x:v>
      </x:c>
      <x:c r="J15" s="101"/>
      <x:c r="K15" s="101"/>
      <x:c r="L15" s="102"/>
    </x:row>
    <x:row r="16">
      <x:c r="I16" s="103"/>
      <x:c r="J16" s="104"/>
      <x:c r="K16" s="104"/>
      <x:c r="L16" s="105"/>
    </x:row>
    <x:row r="17">
      <x:c r="I17" s="103"/>
      <x:c r="J17" s="104"/>
      <x:c r="K17" s="104"/>
      <x:c r="L17" s="105"/>
    </x:row>
    <x:row r="18">
      <x:c r="I18" s="106"/>
      <x:c r="J18" s="107"/>
      <x:c r="K18" s="107"/>
      <x:c r="L18" s="108"/>
    </x:row>
  </x:sheetData>
  <x:mergeCells>
    <x:mergeCell ref="A1:L1"/>
    <x:mergeCell ref="A2:L2"/>
    <x:mergeCell ref="A15:G15"/>
    <x:mergeCell ref="I6:L6"/>
    <x:mergeCell ref="I7:L12"/>
    <x:mergeCell ref="I14:L14"/>
    <x:mergeCell ref="I15:L18"/>
  </x:mergeCells>
  <x:pageMargins left="0.7" right="0.7" top="0.75" bottom="0.75" header="0.3" footer="0.3"/>
  <x:drawing xmlns:r="http://schemas.openxmlformats.org/officeDocument/2006/relationships" r:id="Rb619f473a321429b"/>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8" hidden="0" customWidth="1"/>
    <x:col min="3" max="3" width="20" hidden="0" customWidth="1"/>
    <x:col min="4" max="4" width="27" hidden="0" customWidth="1"/>
    <x:col min="5" max="5" width="27" hidden="0" customWidth="1"/>
    <x:col min="6" max="6" width="27" hidden="0" customWidth="1"/>
    <x:col min="7" max="7" width="14" hidden="0" customWidth="1"/>
    <x:col min="8" max="8" width="14" hidden="0" customWidth="1"/>
    <x:col min="9" max="9" width="19" hidden="0" customWidth="1"/>
    <x:col min="10" max="10" width="15" hidden="0" customWidth="1"/>
    <x:col min="11" max="11" width="15" hidden="0" customWidth="1"/>
    <x:col min="12" max="12" width="15" hidden="0" customWidth="1"/>
    <x:col min="13" max="13" width="24" hidden="0" customWidth="1"/>
    <x:col min="14" max="14" width="24" hidden="0" customWidth="1"/>
    <x:col min="15" max="15" width="24" hidden="0" customWidth="1"/>
    <x:col min="16" max="16" width="2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5" hidden="0" customWidth="1"/>
    <x:col min="24" max="24" width="15" hidden="0" customWidth="1"/>
    <x:col min="25" max="25" width="16" hidden="0" customWidth="1"/>
    <x:col min="26" max="26" width="34" hidden="0" customWidth="1"/>
    <x:col min="27" max="27" width="42" hidden="0" customWidth="1"/>
    <x:col min="28" max="28" width="42" hidden="0" customWidth="1"/>
    <x:col min="29" max="29" width="42" hidden="0" customWidth="1"/>
    <x:col min="30" max="30" width="34" hidden="0" customWidth="1"/>
    <x:col min="31" max="31" width="34" hidden="0" customWidth="1"/>
    <x:col min="32" max="32" width="46" hidden="0" customWidth="1"/>
    <x:col min="33" max="33" width="46" hidden="0" customWidth="1"/>
    <x:col min="34" max="34" width="14" hidden="0" customWidth="1"/>
  </x:cols>
  <x:sheetData>
    <x:row r="1" ht="32" customHeight="1">
      <x:c r="A1" s="111" t="str">
        <x:v>Matrice détaillée d’analyse des sources</x:v>
      </x:c>
      <x:c r="B1" s="111"/>
      <x:c r="C1" s="111"/>
      <x:c r="D1" s="111"/>
      <x:c r="E1" s="111"/>
      <x:c r="F1" s="111"/>
      <x:c r="G1" s="111"/>
      <x:c r="H1" s="111"/>
      <x:c r="I1" s="111"/>
      <x:c r="J1" s="111"/>
      <x:c r="K1" s="111"/>
      <x:c r="L1" s="111"/>
      <x:c r="M1" s="111"/>
      <x:c r="N1" s="111"/>
      <x:c r="O1" s="111"/>
      <x:c r="P1" s="111"/>
      <x:c r="Q1" s="111"/>
      <x:c r="R1" s="111"/>
      <x:c r="S1" s="111"/>
      <x:c r="T1" s="111"/>
      <x:c r="U1" s="111"/>
      <x:c r="V1" s="111"/>
      <x:c r="W1" s="111"/>
      <x:c r="X1" s="111"/>
      <x:c r="Y1" s="111"/>
      <x:c r="Z1" s="111"/>
      <x:c r="AA1" s="111"/>
      <x:c r="AB1" s="111"/>
      <x:c r="AC1" s="111"/>
      <x:c r="AD1" s="111"/>
      <x:c r="AE1" s="111"/>
      <x:c r="AF1" s="111"/>
      <x:c r="AG1" s="111"/>
      <x:c r="AH1" s="111"/>
    </x:row>
    <x:row r="2" ht="30" customHeight="1">
      <x:c r="A2" s="52" t="str">
        <x:v>Les scores (1–5) sont une aide à la décision fondée sur les fichiers et registres du dépôt ; ils ne constituent ni une validation métrologique exhaustive ni un avis juridique.</x:v>
      </x:c>
      <x:c r="B2" s="52"/>
      <x:c r="C2" s="52"/>
      <x:c r="D2" s="52"/>
      <x:c r="E2" s="52"/>
      <x:c r="F2" s="52"/>
      <x:c r="G2" s="52"/>
      <x:c r="H2" s="52"/>
      <x:c r="I2" s="52"/>
      <x:c r="J2" s="52"/>
      <x:c r="K2" s="52"/>
      <x:c r="L2" s="52"/>
      <x:c r="M2" s="52"/>
      <x:c r="N2" s="52"/>
      <x:c r="O2" s="52"/>
      <x:c r="P2" s="52"/>
      <x:c r="Q2" s="52"/>
      <x:c r="R2" s="52"/>
      <x:c r="S2" s="52"/>
      <x:c r="T2" s="52"/>
      <x:c r="U2" s="52"/>
      <x:c r="V2" s="52"/>
      <x:c r="W2" s="52"/>
      <x:c r="X2" s="52"/>
      <x:c r="Y2" s="52"/>
      <x:c r="Z2" s="52"/>
      <x:c r="AA2" s="52"/>
      <x:c r="AB2" s="52"/>
      <x:c r="AC2" s="52"/>
      <x:c r="AD2" s="52"/>
      <x:c r="AE2" s="52"/>
      <x:c r="AF2" s="52"/>
      <x:c r="AG2" s="52"/>
      <x:c r="AH2" s="52"/>
    </x:row>
    <x:row r="4" ht="46" customHeight="1">
      <x:c r="A4" s="115" t="str">
        <x:v>ID</x:v>
      </x:c>
      <x:c r="B4" s="115" t="str">
        <x:v>Source</x:v>
      </x:c>
      <x:c r="C4" s="115" t="str">
        <x:v>Version</x:v>
      </x:c>
      <x:c r="D4" s="115" t="str">
        <x:v>Type de données</x:v>
      </x:c>
      <x:c r="E4" s="115" t="str">
        <x:v>Usage dans logK25</x:v>
      </x:c>
      <x:c r="F4" s="115" t="str">
        <x:v>Format / acquisition</x:v>
      </x:c>
      <x:c r="G4" s="115" t="str">
        <x:v>Lignes consolidées</x:v>
      </x:c>
      <x:c r="H4" s="115" t="str">
        <x:v>Part du jeu</x:v>
      </x:c>
      <x:c r="I4" s="115" t="str">
        <x:v>Constante directe ?</x:v>
      </x:c>
      <x:c r="J4" s="115" t="str">
        <x:v>Champ conditions renseigné</x:v>
      </x:c>
      <x:c r="K4" s="115" t="str">
        <x:v>Références renseignées</x:v>
      </x:c>
      <x:c r="L4" s="115" t="str">
        <x:v>Commentaires renseignés</x:v>
      </x:c>
      <x:c r="M4" s="115" t="str">
        <x:v>Licence / droits</x:v>
      </x:c>
      <x:c r="N4" s="115" t="str">
        <x:v>Usage commercial</x:v>
      </x:c>
      <x:c r="O4" s="115" t="str">
        <x:v>Redistribution</x:v>
      </x:c>
      <x:c r="P4" s="115" t="str">
        <x:v>Statut juridique</x:v>
      </x:c>
      <x:c r="Q4" s="115" t="str">
        <x:v>Pertinence thermo (1–5)</x:v>
      </x:c>
      <x:c r="R4" s="115" t="str">
        <x:v>Traçabilité (1–5)</x:v>
      </x:c>
      <x:c r="S4" s="115" t="str">
        <x:v>Conditions (1–5)</x:v>
      </x:c>
      <x:c r="T4" s="115" t="str">
        <x:v>Intégrabilité (1–5)</x:v>
      </x:c>
      <x:c r="U4" s="115" t="str">
        <x:v>Clarté juridique (1–5)</x:v>
      </x:c>
      <x:c r="V4" s="115" t="str">
        <x:v>Couverture (1–5)</x:v>
      </x:c>
      <x:c r="W4" s="115" t="str">
        <x:v>Score scientifique /100</x:v>
      </x:c>
      <x:c r="X4" s="115" t="str">
        <x:v>Score global /100</x:v>
      </x:c>
      <x:c r="Y4" s="115" t="str">
        <x:v>Risque juridique</x:v>
      </x:c>
      <x:c r="Z4" s="115" t="str">
        <x:v>Recommandation</x:v>
      </x:c>
      <x:c r="AA4" s="115" t="str">
        <x:v>Points forts</x:v>
      </x:c>
      <x:c r="AB4" s="115" t="str">
        <x:v>Limites / biais</x:v>
      </x:c>
      <x:c r="AC4" s="115" t="str">
        <x:v>Action requise</x:v>
      </x:c>
      <x:c r="AD4" s="115" t="str">
        <x:v>URL officielle</x:v>
      </x:c>
      <x:c r="AE4" s="115" t="str">
        <x:v>DOI / identifiant</x:v>
      </x:c>
      <x:c r="AF4" s="115" t="str">
        <x:v>Attribution requise</x:v>
      </x:c>
      <x:c r="AG4" s="115" t="str">
        <x:v>Transformations logK25</x:v>
      </x:c>
      <x:c r="AH4" s="115" t="str">
        <x:v>Revue du registre</x:v>
      </x:c>
    </x:row>
    <x:row r="5" ht="76" customHeight="1">
      <x:c r="A5" s="119" t="str">
        <x:v>aqsoldb</x:v>
      </x:c>
      <x:c r="B5" s="119" t="str">
        <x:v>AqSolDB</x:v>
      </x:c>
      <x:c r="C5" s="119" t="str">
        <x:v>Snapshot (9 982 composés)</x:v>
      </x:c>
      <x:c r="D5" s="119" t="str">
        <x:v>Solubilité aqueuse (logS)</x:v>
      </x:c>
      <x:c r="E5" s="119" t="str">
        <x:v>Valeurs logS représentées comme entrées proxy</x:v>
      </x:c>
      <x:c r="F5" s="119" t="str">
        <x:v>CSV + scripts</x:v>
      </x:c>
      <x:c r="G5" s="120" t="n">
        <x:v>9859</x:v>
      </x:c>
      <x:c r="H5" s="121" t="n">
        <x:f>G5/'Synthèse'!$B$4</x:f>
        <x:v>0.06905028715506373</x:v>
      </x:c>
      <x:c r="I5" s="121" t="str">
        <x:v>Non — proxy logS</x:v>
      </x:c>
      <x:c r="J5" s="121" t="n">
        <x:v>1</x:v>
      </x:c>
      <x:c r="K5" s="121" t="n">
        <x:v>1</x:v>
      </x:c>
      <x:c r="L5" s="121" t="n">
        <x:v>1</x:v>
      </x:c>
      <x:c r="M5" s="119" t="str">
        <x:v>Données CC0 1.0 ; code MIT</x:v>
      </x:c>
      <x:c r="N5" s="119" t="str">
        <x:v>Oui (données)</x:v>
      </x:c>
      <x:c r="O5" s="119" t="str">
        <x:v>Permise</x:v>
      </x:c>
      <x:c r="P5" s="119" t="str">
        <x:v>Documenté</x:v>
      </x:c>
      <x:c r="Q5" s="122" t="n">
        <x:v>2</x:v>
      </x:c>
      <x:c r="R5" s="122" t="n">
        <x:v>5</x:v>
      </x:c>
      <x:c r="S5" s="122" t="n">
        <x:v>2</x:v>
      </x:c>
      <x:c r="T5" s="122" t="n">
        <x:v>5</x:v>
      </x:c>
      <x:c r="U5" s="122" t="n">
        <x:v>5</x:v>
      </x:c>
      <x:c r="V5" s="122" t="n">
        <x:v>4</x:v>
      </x:c>
      <x:c r="W5" s="123" t="n">
        <x:f>(Q5*25+R5*20+S5*15+T5*10+V5*10)/4</x:f>
        <x:v>67.5</x:v>
      </x:c>
      <x:c r="X5" s="123" t="n">
        <x:f>(Q5*25+R5*20+S5*15+T5*10+U5*20+V5*10)/5</x:f>
        <x:v>74</x:v>
      </x:c>
      <x:c r="Y5" s="119" t="str">
        <x:f>IF(U5&lt;=1,"Critique",IF(U5&lt;=2,"Élevé",IF(U5&lt;=3,"Modéré","Faible")))</x:f>
        <x:v>Faible</x:v>
      </x:c>
      <x:c r="Z5" s="119" t="str">
        <x:v>Complément distinct — ne pas mélanger aux logK</x:v>
      </x:c>
      <x:c r="AA5" s="119" t="str">
        <x:v>Licence très claire ; structure tabulaire ; identifiants chimiques et bibliographie.</x:v>
      </x:c>
      <x:c r="AB5" s="119" t="str">
        <x:v>Le logS n’est pas une constante d’équilibre thermodynamique directe ; température et force ionique souvent non spécifiées.</x:v>
      </x:c>
      <x:c r="AC5" s="119" t="str">
        <x:v>Conserver dans une catégorie séparée et exclure des comparaisons directes de logK.</x:v>
      </x:c>
      <x:c r="AD5" s="119" t="str">
        <x:v>https://github.com/mcsorkun/AqSolDB</x:v>
      </x:c>
      <x:c r="AE5" s="119" t="str">
        <x:v>https://doi.org/10.1038/s41597-019-0151-1</x:v>
      </x:c>
      <x:c r="AF5" s="119" t="str">
        <x:v>Citer Sorkun, Khetan et Er (2019) ; conserver la notice MIT si le code est réutilisé.</x:v>
      </x:c>
      <x:c r="AG5" s="119" t="str">
        <x:v>Sélection, conversion vers le schéma commun et étiquetage de source.</x:v>
      </x:c>
      <x:c r="AH5" s="124" t="n">
        <x:v>46255</x:v>
      </x:c>
    </x:row>
    <x:row r="6" ht="76" customHeight="1">
      <x:c r="A6" s="119" t="str">
        <x:v>gwb</x:v>
      </x:c>
      <x:c r="B6" s="119" t="str">
        <x:v>Jeux thermodynamiques GWB</x:v>
      </x:c>
      <x:c r="C6" s="119" t="str">
        <x:v>Jeux multiples</x:v>
      </x:c>
      <x:c r="D6" s="119" t="str">
        <x:v>Réactions aqueuses, minérales et gazeuses ; logK</x:v>
      </x:c>
      <x:c r="E6" s="119" t="str">
        <x:v>Extraction des valeurs tabulées à 25 °C</x:v>
      </x:c>
      <x:c r="F6" s="119" t="str">
        <x:v>Fichiers .tdat</x:v>
      </x:c>
      <x:c r="G6" s="120" t="n">
        <x:v>11890</x:v>
      </x:c>
      <x:c r="H6" s="121" t="n">
        <x:f>G6/'Synthèse'!$B$4</x:f>
        <x:v>0.08327496848298081</x:v>
      </x:c>
      <x:c r="I6" s="121" t="str">
        <x:v>Oui</x:v>
      </x:c>
      <x:c r="J6" s="121" t="n">
        <x:v>1</x:v>
      </x:c>
      <x:c r="K6" s="121" t="n">
        <x:v>1</x:v>
      </x:c>
      <x:c r="L6" s="121" t="n">
        <x:v>0.6409999999999999</x:v>
      </x:c>
      <x:c r="M6" s="119" t="str">
        <x:v>À examiner jeu par jeu</x:v>
      </x:c>
      <x:c r="N6" s="119" t="str">
        <x:v>À confirmer</x:v>
      </x:c>
      <x:c r="O6" s="119" t="str">
        <x:v>Revue requise</x:v>
      </x:c>
      <x:c r="P6" s="119" t="str">
        <x:v>Revue institutionnelle</x:v>
      </x:c>
      <x:c r="Q6" s="122" t="n">
        <x:v>4</x:v>
      </x:c>
      <x:c r="R6" s="122" t="n">
        <x:v>3</x:v>
      </x:c>
      <x:c r="S6" s="122" t="n">
        <x:v>4</x:v>
      </x:c>
      <x:c r="T6" s="122" t="n">
        <x:v>4</x:v>
      </x:c>
      <x:c r="U6" s="122" t="n">
        <x:v>2</x:v>
      </x:c>
      <x:c r="V6" s="122" t="n">
        <x:v>4</x:v>
      </x:c>
      <x:c r="W6" s="123" t="n">
        <x:f>(Q6*25+R6*20+S6*15+T6*10+V6*10)/4</x:f>
        <x:v>75</x:v>
      </x:c>
      <x:c r="X6" s="123" t="n">
        <x:f>(Q6*25+R6*20+S6*15+T6*10+U6*20+V6*10)/5</x:f>
        <x:v>68</x:v>
      </x:c>
      <x:c r="Y6" s="119" t="str">
        <x:f>IF(U6&lt;=1,"Critique",IF(U6&lt;=2,"Élevé",IF(U6&lt;=3,"Modéré","Faible")))</x:f>
        <x:v>Élevé</x:v>
      </x:c>
      <x:c r="Z6" s="119" t="str">
        <x:v>Intégrer jeu par jeu après revue des droits</x:v>
      </x:c>
      <x:c r="AA6" s="119" t="str">
        <x:v>Bonne diversité de systèmes et formats utilisés en modélisation géochimique.</x:v>
      </x:c>
      <x:c r="AB6" s="119" t="str">
        <x:v>GWB est parfois seulement le canal ou le format ; les droits et auteurs varient selon chaque fichier.</x:v>
      </x:c>
      <x:c r="AC6" s="119" t="str">
        <x:v>Établir une fiche de droits et une attribution exacte pour chaque jeu .tdat avant diffusion.</x:v>
      </x:c>
      <x:c r="AD6" s="119" t="str">
        <x:v>https://www.gwb.com/thermo.php</x:v>
      </x:c>
      <x:c r="AE6" s="119" t="str"/>
      <x:c r="AF6" s="119" t="str">
        <x:v>Citer le jeu exact, sa version, ses auteurs, son en-tête et ses références.</x:v>
      </x:c>
      <x:c r="AG6" s="119" t="str">
        <x:v>Extraction à 25 °C, parsing, normalisation et agrégation.</x:v>
      </x:c>
      <x:c r="AH6" s="124" t="n">
        <x:v>46255</x:v>
      </x:c>
    </x:row>
    <x:row r="7" ht="76" customHeight="1">
      <x:c r="A7" s="119" t="str">
        <x:v>iupac_pka</x:v>
      </x:c>
      <x:c r="B7" s="119" t="str">
        <x:v>IUPAC Digitized pKa Dataset</x:v>
      </x:c>
      <x:c r="C7" s="119" t="str">
        <x:v>v2.3d</x:v>
      </x:c>
      <x:c r="D7" s="119" t="str">
        <x:v>Constantes de dissociation acido-basique (pKa)</x:v>
      </x:c>
      <x:c r="E7" s="119" t="str">
        <x:v>Conversion des pKa aqueux en représentation logK</x:v>
      </x:c>
      <x:c r="F7" s="119" t="str">
        <x:v>CSV + rapport de numérisation</x:v>
      </x:c>
      <x:c r="G7" s="120" t="n">
        <x:v>7378</x:v>
      </x:c>
      <x:c r="H7" s="121" t="n">
        <x:f>G7/'Synthèse'!$B$4</x:f>
        <x:v>0.05167390390811038</x:v>
      </x:c>
      <x:c r="I7" s="121" t="str">
        <x:v>Oui, après conversion pKa→logK</x:v>
      </x:c>
      <x:c r="J7" s="121" t="n">
        <x:v>1</x:v>
      </x:c>
      <x:c r="K7" s="121" t="n">
        <x:v>1</x:v>
      </x:c>
      <x:c r="L7" s="121" t="n">
        <x:v>0.9940000000000001</x:v>
      </x:c>
      <x:c r="M7" s="119" t="str">
        <x:v>CC BY-NC 4.0</x:v>
      </x:c>
      <x:c r="N7" s="119" t="str">
        <x:v>Non</x:v>
      </x:c>
      <x:c r="O7" s="119" t="str">
        <x:v>Permise hors usage commercial</x:v>
      </x:c>
      <x:c r="P7" s="119" t="str">
        <x:v>Documenté — non commercial</x:v>
      </x:c>
      <x:c r="Q7" s="122" t="n">
        <x:v>4</x:v>
      </x:c>
      <x:c r="R7" s="122" t="n">
        <x:v>5</x:v>
      </x:c>
      <x:c r="S7" s="122" t="n">
        <x:v>4</x:v>
      </x:c>
      <x:c r="T7" s="122" t="n">
        <x:v>5</x:v>
      </x:c>
      <x:c r="U7" s="122" t="n">
        <x:v>4</x:v>
      </x:c>
      <x:c r="V7" s="122" t="n">
        <x:v>4</x:v>
      </x:c>
      <x:c r="W7" s="123" t="n">
        <x:f>(Q7*25+R7*20+S7*15+T7*10+V7*10)/4</x:f>
        <x:v>87.5</x:v>
      </x:c>
      <x:c r="X7" s="123" t="n">
        <x:f>(Q7*25+R7*20+S7*15+T7*10+U7*20+V7*10)/5</x:f>
        <x:v>86</x:v>
      </x:c>
      <x:c r="Y7" s="119" t="str">
        <x:f>IF(U7&lt;=1,"Critique",IF(U7&lt;=2,"Élevé",IF(U7&lt;=3,"Modéré","Faible")))</x:f>
        <x:v>Faible</x:v>
      </x:c>
      <x:c r="Z7" s="119" t="str">
        <x:v>Prioritaire pour l’acido-basicité — non commercial</x:v>
      </x:c>
      <x:c r="AA7" s="119" t="str">
        <x:v>Version et DOI identifiés ; attribution obligatoire explicite ; données structurées.</x:v>
      </x:c>
      <x:c r="AB7" s="119" t="str">
        <x:v>Restriction non commerciale ; conversion de convention à documenter ; domaine limité à l’acido-basicité.</x:v>
      </x:c>
      <x:c r="AC7" s="119" t="str">
        <x:v>Afficher l’attribution IUPAC, le lien de licence et la mention de modification dans chaque export.</x:v>
      </x:c>
      <x:c r="AD7" s="119" t="str">
        <x:v>https://github.com/IUPAC/Dissociation-Constants</x:v>
      </x:c>
      <x:c r="AE7" s="119" t="str">
        <x:v>https://doi.org/10.5281/zenodo.7236453</x:v>
      </x:c>
      <x:c r="AF7" s="119" t="str">
        <x:v>Reproduced by permission of International Union of Pure and Applied Chemistry. Citer Zheng et Lafontant-Joseph (2025).</x:v>
      </x:c>
      <x:c r="AG7" s="119" t="str">
        <x:v>Filtrage, normalisation et conversion pKa vers logK ; identification du matériau modifié.</x:v>
      </x:c>
      <x:c r="AH7" s="124" t="n">
        <x:v>46255</x:v>
      </x:c>
    </x:row>
    <x:row r="8" ht="76" customHeight="1">
      <x:c r="A8" s="119" t="str">
        <x:v>jess</x:v>
      </x:c>
      <x:c r="B8" s="119" t="str">
        <x:v>JESS Thermodynamic Reaction Database</x:v>
      </x:c>
      <x:c r="C8" s="119" t="str">
        <x:v>v8.9</x:v>
      </x:c>
      <x:c r="D8" s="119" t="str">
        <x:v>Réactions thermodynamiques et logK</x:v>
      </x:c>
      <x:c r="E8" s="119" t="str">
        <x:v>Reconstruction des réactions et sélection à 25 °C</x:v>
      </x:c>
      <x:c r="F8" s="119" t="str">
        <x:v>PDF → texte → format PHREEQC-like</x:v>
      </x:c>
      <x:c r="G8" s="120" t="n">
        <x:v>66426</x:v>
      </x:c>
      <x:c r="H8" s="121" t="n">
        <x:f>G8/'Synthèse'!$B$4</x:f>
        <x:v>0.46523322594200867</x:v>
      </x:c>
      <x:c r="I8" s="121" t="str">
        <x:v>Oui</x:v>
      </x:c>
      <x:c r="J8" s="121" t="n">
        <x:v>1</x:v>
      </x:c>
      <x:c r="K8" s="121" t="n">
        <x:v>1</x:v>
      </x:c>
      <x:c r="L8" s="121" t="n">
        <x:v>1</x:v>
      </x:c>
      <x:c r="M8" s="119" t="str">
        <x:v>Permission personnalisée ; attribution requise</x:v>
      </x:c>
      <x:c r="N8" s="119" t="str">
        <x:v>À confirmer</x:v>
      </x:c>
      <x:c r="O8" s="119" t="str">
        <x:v>Permise sous conditions</x:v>
      </x:c>
      <x:c r="P8" s="119" t="str">
        <x:v>Permission personnalisée</x:v>
      </x:c>
      <x:c r="Q8" s="122" t="n">
        <x:v>5</x:v>
      </x:c>
      <x:c r="R8" s="122" t="n">
        <x:v>4</x:v>
      </x:c>
      <x:c r="S8" s="122" t="n">
        <x:v>4</x:v>
      </x:c>
      <x:c r="T8" s="122" t="n">
        <x:v>3</x:v>
      </x:c>
      <x:c r="U8" s="122" t="n">
        <x:v>4</x:v>
      </x:c>
      <x:c r="V8" s="122" t="n">
        <x:v>5</x:v>
      </x:c>
      <x:c r="W8" s="123" t="n">
        <x:f>(Q8*25+R8*20+S8*15+T8*10+V8*10)/4</x:f>
        <x:v>86.25</x:v>
      </x:c>
      <x:c r="X8" s="123" t="n">
        <x:f>(Q8*25+R8*20+S8*15+T8*10+U8*20+V8*10)/5</x:f>
        <x:v>85</x:v>
      </x:c>
      <x:c r="Y8" s="119" t="str">
        <x:f>IF(U8&lt;=1,"Critique",IF(U8&lt;=2,"Élevé",IF(U8&lt;=3,"Modéré","Faible")))</x:f>
        <x:v>Faible</x:v>
      </x:c>
      <x:c r="Z8" s="119" t="str">
        <x:v>Source cœur — attribution, notice et contrôle d’extraction</x:v>
      </x:c>
      <x:c r="AA8" s="119" t="str">
        <x:v>Couverture dominante ; métadonnées de fichier, réaction, milieu et force ionique préservées quand disponibles.</x:v>
      </x:c>
      <x:c r="AB8" s="119" t="str">
        <x:v>Extraction depuis PDF susceptible d’erreurs OCR/parsing ; notice JESS obligatoire pour les PDF originaux.</x:v>
      </x:c>
      <x:c r="AC8" s="119" t="str">
        <x:v>Échantillonner les réactions critiques contre les PDF et conserver attribution, licence et disclaimer.</x:v>
      </x:c>
      <x:c r="AD8" s="119" t="str">
        <x:v>https://zenodo.org/records/7700024</x:v>
      </x:c>
      <x:c r="AE8" s="119" t="str">
        <x:v>https://doi.org/10.5281/zenodo.7700024</x:v>
      </x:c>
      <x:c r="AF8" s="119" t="str">
        <x:v>Citer Bonet, Filella, May, May et Murray, JESS v8.9.</x:v>
      </x:c>
      <x:c r="AG8" s="119" t="str">
        <x:v>Extraction PDF, reconstruction, filtrage à 25 °C et normalisation.</x:v>
      </x:c>
      <x:c r="AH8" s="124" t="n">
        <x:v>46255</x:v>
      </x:c>
    </x:row>
    <x:row r="9" ht="76" customHeight="1">
      <x:c r="A9" s="119" t="str">
        <x:v>medusa</x:v>
      </x:c>
      <x:c r="B9" s="119" t="str">
        <x:v>Bases Medusa/Hydra</x:v>
      </x:c>
      <x:c r="C9" s="119" t="str">
        <x:v>Fichiers multiples</x:v>
      </x:c>
      <x:c r="D9" s="119" t="str">
        <x:v>Réactions, logK et références</x:v>
      </x:c>
      <x:c r="E9" s="119" t="str">
        <x:v>Extraction de bases et exports texte</x:v>
      </x:c>
      <x:c r="F9" s="119" t="str">
        <x:v>TXT, DB, ELB, ELT, DTA</x:v>
      </x:c>
      <x:c r="G9" s="120" t="n">
        <x:v>1082</x:v>
      </x:c>
      <x:c r="H9" s="121" t="n">
        <x:f>G9/'Synthèse'!$B$4</x:f>
        <x:v>0.0075780921697716766</x:v>
      </x:c>
      <x:c r="I9" s="121" t="str">
        <x:v>Oui</x:v>
      </x:c>
      <x:c r="J9" s="121" t="n">
        <x:v>1</x:v>
      </x:c>
      <x:c r="K9" s="121" t="n">
        <x:v>1</x:v>
      </x:c>
      <x:c r="L9" s="121" t="n">
        <x:v>0.9590000000000001</x:v>
      </x:c>
      <x:c r="M9" s="119" t="str">
        <x:v>Aucune licence explicite identifiée</x:v>
      </x:c>
      <x:c r="N9" s="119" t="str">
        <x:v>À confirmer</x:v>
      </x:c>
      <x:c r="O9" s="119" t="str">
        <x:v>Revue requise</x:v>
      </x:c>
      <x:c r="P9" s="119" t="str">
        <x:v>Revue institutionnelle</x:v>
      </x:c>
      <x:c r="Q9" s="122" t="n">
        <x:v>4</x:v>
      </x:c>
      <x:c r="R9" s="122" t="n">
        <x:v>3</x:v>
      </x:c>
      <x:c r="S9" s="122" t="n">
        <x:v>3</x:v>
      </x:c>
      <x:c r="T9" s="122" t="n">
        <x:v>3</x:v>
      </x:c>
      <x:c r="U9" s="122" t="n">
        <x:v>1</x:v>
      </x:c>
      <x:c r="V9" s="122" t="n">
        <x:v>2</x:v>
      </x:c>
      <x:c r="W9" s="123" t="n">
        <x:f>(Q9*25+R9*20+S9*15+T9*10+V9*10)/4</x:f>
        <x:v>63.75</x:v>
      </x:c>
      <x:c r="X9" s="123" t="n">
        <x:f>(Q9*25+R9*20+S9*15+T9*10+U9*20+V9*10)/5</x:f>
        <x:v>55</x:v>
      </x:c>
      <x:c r="Y9" s="119" t="str">
        <x:f>IF(U9&lt;=1,"Critique",IF(U9&lt;=2,"Élevé",IF(U9&lt;=3,"Modéré","Faible")))</x:f>
        <x:v>Critique</x:v>
      </x:c>
      <x:c r="Z9" s="119" t="str">
        <x:v>Usage interne seulement jusqu’à clarification</x:v>
      </x:c>
      <x:c r="AA9" s="119" t="str">
        <x:v>Références bibliographiques associées à plusieurs fichiers ; source historique utile.</x:v>
      </x:c>
      <x:c r="AB9" s="119" t="str">
        <x:v>Droits de redistribution non explicités ; formats hétérogènes, parfois binaires ou propriétaires.</x:v>
      </x:c>
      <x:c r="AC9" s="119" t="str">
        <x:v>Suspendre la redistribution substantielle et demander une confirmation écrite à KTH/SDVI.</x:v>
      </x:c>
      <x:c r="AD9" s="119" t="str">
        <x:v>https://www.kth.se/che/medusa/downloads-1.386254</x:v>
      </x:c>
      <x:c r="AE9" s="119" t="str"/>
      <x:c r="AF9" s="119" t="str">
        <x:v>Identifier Medusa/Hydra, KTH, le fichier exact et la référence de l’enregistrement.</x:v>
      </x:c>
      <x:c r="AG9" s="119" t="str">
        <x:v>Extraction texte ou binaire, normalisation et agrégation.</x:v>
      </x:c>
      <x:c r="AH9" s="124" t="n">
        <x:v>46255</x:v>
      </x:c>
    </x:row>
    <x:row r="10" ht="76" customHeight="1">
      <x:c r="A10" s="119" t="str">
        <x:v>nist_srd46</x:v>
      </x:c>
      <x:c r="B10" s="119" t="str">
        <x:v>NIST SRD 46</x:v>
      </x:c>
      <x:c r="C10" s="119" t="str">
        <x:v>8.0</x:v>
      </x:c>
      <x:c r="D10" s="119" t="str">
        <x:v>Constantes de stabilité de complexes métalliques</x:v>
      </x:c>
      <x:c r="E10" s="119" t="str">
        <x:v>Transformation de l’export SQL en réactions avec contexte</x:v>
      </x:c>
      <x:c r="F10" s="119" t="str">
        <x:v>Export SQL</x:v>
      </x:c>
      <x:c r="G10" s="120" t="n">
        <x:v>43930</x:v>
      </x:c>
      <x:c r="H10" s="121" t="n">
        <x:f>G10/'Synthèse'!$B$4</x:f>
        <x:v>0.30767614511836394</x:v>
      </x:c>
      <x:c r="I10" s="121" t="str">
        <x:v>Oui</x:v>
      </x:c>
      <x:c r="J10" s="121" t="n">
        <x:v>1</x:v>
      </x:c>
      <x:c r="K10" s="121" t="n">
        <x:v>1</x:v>
      </x:c>
      <x:c r="L10" s="121" t="n">
        <x:v>1</x:v>
      </x:c>
      <x:c r="M10" s="119" t="str">
        <x:v>Standard Reference Data — revue requise</x:v>
      </x:c>
      <x:c r="N10" s="119" t="str">
        <x:v>À confirmer</x:v>
      </x:c>
      <x:c r="O10" s="119" t="str">
        <x:v>Revue requise</x:v>
      </x:c>
      <x:c r="P10" s="119" t="str">
        <x:v>Revue institutionnelle</x:v>
      </x:c>
      <x:c r="Q10" s="122" t="n">
        <x:v>5</x:v>
      </x:c>
      <x:c r="R10" s="122" t="n">
        <x:v>5</x:v>
      </x:c>
      <x:c r="S10" s="122" t="n">
        <x:v>5</x:v>
      </x:c>
      <x:c r="T10" s="122" t="n">
        <x:v>4</x:v>
      </x:c>
      <x:c r="U10" s="122" t="n">
        <x:v>1</x:v>
      </x:c>
      <x:c r="V10" s="122" t="n">
        <x:v>5</x:v>
      </x:c>
      <x:c r="W10" s="123" t="n">
        <x:f>(Q10*25+R10*20+S10*15+T10*10+V10*10)/4</x:f>
        <x:v>97.5</x:v>
      </x:c>
      <x:c r="X10" s="123" t="n">
        <x:f>(Q10*25+R10*20+S10*15+T10*10+U10*20+V10*10)/5</x:f>
        <x:v>82</x:v>
      </x:c>
      <x:c r="Y10" s="119" t="str">
        <x:f>IF(U10&lt;=1,"Critique",IF(U10&lt;=2,"Élevé",IF(U10&lt;=3,"Modéré","Faible")))</x:f>
        <x:v>Critique</x:v>
      </x:c>
      <x:c r="Z10" s="119" t="str">
        <x:v>Source cœur scientifique — diffusion à sécuriser</x:v>
      </x:c>
      <x:c r="AA10" s="119" t="str">
        <x:v>Très forte couverture ; littérature, ligands, métaux, conditions et définition des constantes structurés.</x:v>
      </x:c>
      <x:c r="AB10" s="119" t="str">
        <x:v>Compilation SRD potentiellement protégée ; republication substantielle et licence à clarifier.</x:v>
      </x:c>
      <x:c r="AC10" s="119" t="str">
        <x:v>Obtenir un avis institutionnel/licence avant publication stable ; signaler toutes les modifications.</x:v>
      </x:c>
      <x:c r="AD10" s="119" t="str">
        <x:v>https://data.nist.gov/pdr/lps/ark:/88434/mds2-2154</x:v>
      </x:c>
      <x:c r="AE10" s="119" t="str">
        <x:v>https://doi.org/10.18434/M32154</x:v>
      </x:c>
      <x:c r="AF10" s="119" t="str">
        <x:v>Citer Donald R. Burgess (2004), NIST SRD 46 v8.0, et identifier les modifications logK25.</x:v>
      </x:c>
      <x:c r="AG10" s="119" t="str">
        <x:v>Transformation SQL en lignes réactionnelles avec ligand et contexte expérimental.</x:v>
      </x:c>
      <x:c r="AH10" s="124" t="n">
        <x:v>46255</x:v>
      </x:c>
    </x:row>
    <x:row r="11" ht="76" customHeight="1">
      <x:c r="A11" s="119" t="str">
        <x:v>psinagra</x:v>
      </x:c>
      <x:c r="B11" s="119" t="str">
        <x:v>PSI/Nagra Chemical Thermodynamic Database</x:v>
      </x:c>
      <x:c r="C11" s="119" t="str">
        <x:v>psinagra2020 v2-1</x:v>
      </x:c>
      <x:c r="D11" s="119" t="str">
        <x:v>Réactions PHREEQC et logK</x:v>
      </x:c>
      <x:c r="E11" s="119" t="str">
        <x:v>Extraction à 25 °C avec commentaires et références</x:v>
      </x:c>
      <x:c r="F11" s="119" t="str">
        <x:v>PHREEQC .dat</x:v>
      </x:c>
      <x:c r="G11" s="120" t="n">
        <x:v>1104</x:v>
      </x:c>
      <x:c r="H11" s="121" t="n">
        <x:f>G11/'Synthèse'!$B$4</x:f>
        <x:v>0.0077321753747023395</x:v>
      </x:c>
      <x:c r="I11" s="121" t="str">
        <x:v>Oui</x:v>
      </x:c>
      <x:c r="J11" s="121" t="n">
        <x:v>1</x:v>
      </x:c>
      <x:c r="K11" s="121" t="n">
        <x:v>1</x:v>
      </x:c>
      <x:c r="L11" s="121" t="n">
        <x:v>0.823</x:v>
      </x:c>
      <x:c r="M11" s="119" t="str">
        <x:v>Usage scientifique non commercial ; revue requise</x:v>
      </x:c>
      <x:c r="N11" s="119" t="str">
        <x:v>Non</x:v>
      </x:c>
      <x:c r="O11" s="119" t="str">
        <x:v>Revue requise</x:v>
      </x:c>
      <x:c r="P11" s="119" t="str">
        <x:v>Revue institutionnelle</x:v>
      </x:c>
      <x:c r="Q11" s="122" t="n">
        <x:v>5</x:v>
      </x:c>
      <x:c r="R11" s="122" t="n">
        <x:v>5</x:v>
      </x:c>
      <x:c r="S11" s="122" t="n">
        <x:v>5</x:v>
      </x:c>
      <x:c r="T11" s="122" t="n">
        <x:v>5</x:v>
      </x:c>
      <x:c r="U11" s="122" t="n">
        <x:v>2</x:v>
      </x:c>
      <x:c r="V11" s="122" t="n">
        <x:v>2</x:v>
      </x:c>
      <x:c r="W11" s="123" t="n">
        <x:f>(Q11*25+R11*20+S11*15+T11*10+V11*10)/4</x:f>
        <x:v>92.5</x:v>
      </x:c>
      <x:c r="X11" s="123" t="n">
        <x:f>(Q11*25+R11*20+S11*15+T11*10+U11*20+V11*10)/5</x:f>
        <x:v>82</x:v>
      </x:c>
      <x:c r="Y11" s="119" t="str">
        <x:f>IF(U11&lt;=1,"Critique",IF(U11&lt;=2,"Élevé",IF(U11&lt;=3,"Modéré","Faible")))</x:f>
        <x:v>Élevé</x:v>
      </x:c>
      <x:c r="Z11" s="119" t="str">
        <x:v>Source cœur ciblée — revue juridique</x:v>
      </x:c>
      <x:c r="AA11" s="119" t="str">
        <x:v>Base évaluée, format directement exploitable et documentation de version claire.</x:v>
      </x:c>
      <x:c r="AB11" s="119" t="str">
        <x:v>Couverture plus ciblée ; licence de republication du fichier complet non identifiée.</x:v>
      </x:c>
      <x:c r="AC11" s="119" t="str">
        <x:v>Confirmer les droits de redistribution et conserver en-tête, version et références Hummel/Thoenen/Miron.</x:v>
      </x:c>
      <x:c r="AD11" s="119" t="str">
        <x:v>https://www.psi.ch/en/les/thermodynamic-databases</x:v>
      </x:c>
      <x:c r="AE11" s="119" t="str"/>
      <x:c r="AF11" s="119" t="str">
        <x:v>Citer psinagra2020 v2-1 (Hummel et Thoenen, 2023) et Miron (2025) lorsque pertinent.</x:v>
      </x:c>
      <x:c r="AG11" s="119" t="str">
        <x:v>Extraction à 25 °C, parsing, normalisation et agrégation.</x:v>
      </x:c>
      <x:c r="AH11" s="124" t="n">
        <x:v>46255</x:v>
      </x:c>
    </x:row>
    <x:row r="12" ht="76" customHeight="1">
      <x:c r="A12" s="119" t="str">
        <x:v>thermoddem</x:v>
      </x:c>
      <x:c r="B12" s="119" t="str">
        <x:v>Thermoddem</x:v>
      </x:c>
      <x:c r="C12" s="119" t="str">
        <x:v>v1.10 — 15/12/2020</x:v>
      </x:c>
      <x:c r="D12" s="119" t="str">
        <x:v>Réactions et logK multi-formats</x:v>
      </x:c>
      <x:c r="E12" s="119" t="str">
        <x:v>Extraction CHESS, GWB, PHREEQC, ToughReact et Crunch</x:v>
      </x:c>
      <x:c r="F12" s="119" t="str">
        <x:v>TDB, DAT, DBS multi-formats</x:v>
      </x:c>
      <x:c r="G12" s="120" t="n">
        <x:v>3579</x:v>
      </x:c>
      <x:c r="H12" s="121" t="n">
        <x:f>G12/'Synthèse'!$B$4</x:f>
        <x:v>0.025066535929401876</x:v>
      </x:c>
      <x:c r="I12" s="121" t="str">
        <x:v>Oui</x:v>
      </x:c>
      <x:c r="J12" s="121" t="n">
        <x:v>1</x:v>
      </x:c>
      <x:c r="K12" s="121" t="n">
        <x:v>1</x:v>
      </x:c>
      <x:c r="L12" s="121" t="n">
        <x:v>0.8420000000000001</x:v>
      </x:c>
      <x:c r="M12" s="119" t="str">
        <x:v>Applicabilité Licence Ouverte 2.0 à confirmer</x:v>
      </x:c>
      <x:c r="N12" s="119" t="str">
        <x:v>À confirmer</x:v>
      </x:c>
      <x:c r="O12" s="119" t="str">
        <x:v>Revue requise</x:v>
      </x:c>
      <x:c r="P12" s="119" t="str">
        <x:v>Revue institutionnelle</x:v>
      </x:c>
      <x:c r="Q12" s="122" t="n">
        <x:v>5</x:v>
      </x:c>
      <x:c r="R12" s="122" t="n">
        <x:v>4</x:v>
      </x:c>
      <x:c r="S12" s="122" t="n">
        <x:v>5</x:v>
      </x:c>
      <x:c r="T12" s="122" t="n">
        <x:v>5</x:v>
      </x:c>
      <x:c r="U12" s="122" t="n">
        <x:v>2</x:v>
      </x:c>
      <x:c r="V12" s="122" t="n">
        <x:v>3</x:v>
      </x:c>
      <x:c r="W12" s="123" t="n">
        <x:f>(Q12*25+R12*20+S12*15+T12*10+V12*10)/4</x:f>
        <x:v>90</x:v>
      </x:c>
      <x:c r="X12" s="123" t="n">
        <x:f>(Q12*25+R12*20+S12*15+T12*10+U12*20+V12*10)/5</x:f>
        <x:v>80</x:v>
      </x:c>
      <x:c r="Y12" s="119" t="str">
        <x:f>IF(U12&lt;=1,"Critique",IF(U12&lt;=2,"Élevé",IF(U12&lt;=3,"Modéré","Faible")))</x:f>
        <x:v>Élevé</x:v>
      </x:c>
      <x:c r="Z12" s="119" t="str">
        <x:v>Source cœur multi-format — confirmer la licence</x:v>
      </x:c>
      <x:c r="AA12" s="119" t="str">
        <x:v>Source cohérente distribuée dans plusieurs formats de modélisation ; forte pertinence thermodynamique.</x:v>
      </x:c>
      <x:c r="AB12" s="119" t="str">
        <x:v>Risque de doublons inter-formats ; applicabilité de la licence ouverte aux fichiers intégrés non confirmée.</x:v>
      </x:c>
      <x:c r="AC12" s="119" t="str">
        <x:v>Dédupliquer au niveau source logique et obtenir confirmation BRGM/SDVI sur la licence applicable.</x:v>
      </x:c>
      <x:c r="AD12" s="119" t="str">
        <x:v>https://thermoddem.brgm.fr/databases</x:v>
      </x:c>
      <x:c r="AE12" s="119" t="str"/>
      <x:c r="AF12" s="119" t="str">
        <x:v>Source : BRGM, Thermoddem v1.10, mise à jour du 15 décembre 2020 ; indiquer les transformations.</x:v>
      </x:c>
      <x:c r="AG12" s="119" t="str">
        <x:v>Extraction multi-formats, sélection à 25 °C, normalisation et agrégation.</x:v>
      </x:c>
      <x:c r="AH12" s="124" t="n">
        <x:v>46255</x:v>
      </x:c>
    </x:row>
  </x:sheetData>
  <x:mergeCells>
    <x:mergeCell ref="A1:AH1"/>
    <x:mergeCell ref="A2:AH2"/>
  </x:mergeCells>
  <x:conditionalFormatting sqref="W5:X12">
    <x:cfRule type="colorScale" priority="1">
      <x:colorScale>
        <x:cfvo type="min"/>
        <x:cfvo type="percentile" val="50"/>
        <x:cfvo type="max"/>
        <x:color rgb="FFF8696B"/>
        <x:color rgb="FFFFEB84"/>
        <x:color rgb="FF63BE7B"/>
      </x:colorScale>
    </x:cfRule>
  </x:conditionalFormatting>
  <x:conditionalFormatting sqref="Y5:Y12">
    <x:cfRule type="containsText" dxfId="0" priority="2" operator="containsText" text="Critique"/>
    <x:cfRule type="containsText" dxfId="1" priority="3" operator="containsText" text="Élevé"/>
    <x:cfRule type="containsText" dxfId="2" priority="4" operator="containsText" text="Faible"/>
  </x:conditionalFormatting>
  <x:pageMargins left="0.7" right="0.7" top="0.75" bottom="0.75" header="0.3" footer="0.3"/>
  <x:tableParts count="1">
    <x:tablePart xmlns:r="http://schemas.openxmlformats.org/officeDocument/2006/relationships" r:id="R192e04db6fd24f3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35" hidden="0" customWidth="1"/>
    <x:col min="3" max="3" width="38" hidden="0" customWidth="1"/>
    <x:col min="4" max="4" width="38" hidden="0" customWidth="1"/>
    <x:col min="5" max="5" width="3" hidden="0" customWidth="1"/>
    <x:col min="6" max="6" width="10" hidden="0" customWidth="1"/>
    <x:col min="7" max="7" width="28" hidden="0" customWidth="1"/>
    <x:col min="8" max="8" width="28" hidden="0" customWidth="1"/>
  </x:cols>
  <x:sheetData>
    <x:row r="1" ht="32" customHeight="1">
      <x:c r="A1" s="135" t="str">
        <x:v>Barème, pondérations et provenance</x:v>
      </x:c>
      <x:c r="B1" s="135"/>
      <x:c r="C1" s="135"/>
      <x:c r="D1" s="135"/>
      <x:c r="E1" s="135"/>
      <x:c r="F1" s="135"/>
      <x:c r="G1" s="135"/>
      <x:c r="H1" s="135"/>
    </x:row>
    <x:row r="3" ht="32" customHeight="1">
      <x:c r="A3" s="29" t="str">
        <x:v>Critère</x:v>
      </x:c>
      <x:c r="B3" s="30" t="str">
        <x:v>Poids global</x:v>
      </x:c>
      <x:c r="C3" s="30" t="str">
        <x:v>Interprétation du score 1</x:v>
      </x:c>
      <x:c r="D3" s="31" t="str">
        <x:v>Interprétation du score 5</x:v>
      </x:c>
      <x:c r="F3" s="26" t="str">
        <x:v>Niveau</x:v>
      </x:c>
      <x:c r="G3" s="27" t="str">
        <x:v>Définition</x:v>
      </x:c>
      <x:c r="H3" s="28" t="str">
        <x:v>Usage</x:v>
      </x:c>
    </x:row>
    <x:row r="4" ht="42" customHeight="1">
      <x:c r="A4" s="38" t="str">
        <x:v>Pertinence thermodynamique</x:v>
      </x:c>
      <x:c r="B4" s="125" t="n">
        <x:v>0.25</x:v>
      </x:c>
      <x:c r="C4" s="39" t="str">
        <x:v>Proxy ou décalage conceptuel important</x:v>
      </x:c>
      <x:c r="D4" s="40" t="str">
        <x:v>Constantes thermodynamiques directement pertinentes</x:v>
      </x:c>
      <x:c r="F4" s="17" t="n">
        <x:v>5</x:v>
      </x:c>
      <x:c r="G4" s="18" t="str">
        <x:v>Excellent</x:v>
      </x:c>
      <x:c r="H4" s="19" t="str">
        <x:v>Référence privilégiée</x:v>
      </x:c>
    </x:row>
    <x:row r="5" ht="42" customHeight="1">
      <x:c r="A5" s="38" t="str">
        <x:v>Traçabilité</x:v>
      </x:c>
      <x:c r="B5" s="125" t="n">
        <x:v>0.2</x:v>
      </x:c>
      <x:c r="C5" s="39" t="str">
        <x:v>Origine et bibliographie difficiles à remonter</x:v>
      </x:c>
      <x:c r="D5" s="40" t="str">
        <x:v>Version, enregistrement et référence précisément auditables</x:v>
      </x:c>
      <x:c r="F5" s="17" t="n">
        <x:v>4</x:v>
      </x:c>
      <x:c r="G5" s="18" t="str">
        <x:v>Bon</x:v>
      </x:c>
      <x:c r="H5" s="19" t="str">
        <x:v>Utilisable avec contrôles ciblés</x:v>
      </x:c>
    </x:row>
    <x:row r="6" ht="42" customHeight="1">
      <x:c r="A6" s="38" t="str">
        <x:v>Conditions expérimentales</x:v>
      </x:c>
      <x:c r="B6" s="125" t="n">
        <x:v>0.15</x:v>
      </x:c>
      <x:c r="C6" s="39" t="str">
        <x:v>Conditions largement absentes ou ambiguës</x:v>
      </x:c>
      <x:c r="D6" s="40" t="str">
        <x:v>Température, milieu, force ionique et contexte bien documentés</x:v>
      </x:c>
      <x:c r="F6" s="17" t="n">
        <x:v>3</x:v>
      </x:c>
      <x:c r="G6" s="18" t="str">
        <x:v>Moyen</x:v>
      </x:c>
      <x:c r="H6" s="19" t="str">
        <x:v>Complément à encadrer</x:v>
      </x:c>
    </x:row>
    <x:row r="7" ht="42" customHeight="1">
      <x:c r="A7" s="38" t="str">
        <x:v>Intégrabilité technique</x:v>
      </x:c>
      <x:c r="B7" s="125" t="n">
        <x:v>0.1</x:v>
      </x:c>
      <x:c r="C7" s="39" t="str">
        <x:v>Extraction fragile / format difficile</x:v>
      </x:c>
      <x:c r="D7" s="40" t="str">
        <x:v>Format structuré, stable et directement intégrable</x:v>
      </x:c>
      <x:c r="F7" s="17" t="n">
        <x:v>2</x:v>
      </x:c>
      <x:c r="G7" s="18" t="str">
        <x:v>Faible</x:v>
      </x:c>
      <x:c r="H7" s="19" t="str">
        <x:v>Réserve importante / clarification requise</x:v>
      </x:c>
    </x:row>
    <x:row r="8" ht="42" customHeight="1">
      <x:c r="A8" s="38" t="str">
        <x:v>Clarté juridique</x:v>
      </x:c>
      <x:c r="B8" s="125" t="n">
        <x:v>0.2</x:v>
      </x:c>
      <x:c r="C8" s="39" t="str">
        <x:v>Aucune autorisation explicite identifiée</x:v>
      </x:c>
      <x:c r="D8" s="40" t="str">
        <x:v>Licence claire autorisant transformation et redistribution</x:v>
      </x:c>
      <x:c r="F8" s="20" t="n">
        <x:v>1</x:v>
      </x:c>
      <x:c r="G8" s="21" t="str">
        <x:v>Critique</x:v>
      </x:c>
      <x:c r="H8" s="22" t="str">
        <x:v>Ne pas diffuser sans résolution</x:v>
      </x:c>
    </x:row>
    <x:row r="9" ht="42" customHeight="1">
      <x:c r="A9" s="41" t="str">
        <x:v>Couverture</x:v>
      </x:c>
      <x:c r="B9" s="126" t="n">
        <x:v>0.1</x:v>
      </x:c>
      <x:c r="C9" s="42" t="str">
        <x:v>Contribution très limitée</x:v>
      </x:c>
      <x:c r="D9" s="43" t="str">
        <x:v>Contribution majeure et diversifiée</x:v>
      </x:c>
    </x:row>
    <x:row r="10">
      <x:c r="A10" s="128" t="str">
        <x:v>Total</x:v>
      </x:c>
      <x:c r="B10" s="129" t="n">
        <x:f>SUM(B4:B9)</x:f>
        <x:v>0.9999999999999999</x:v>
      </x:c>
    </x:row>
    <x:row r="12">
      <x:c r="A12" s="53" t="str">
        <x:v>Méthode et limites</x:v>
      </x:c>
      <x:c r="B12" s="53"/>
      <x:c r="C12" s="53"/>
      <x:c r="D12" s="53"/>
      <x:c r="E12" s="53"/>
      <x:c r="F12" s="53"/>
      <x:c r="G12" s="53"/>
      <x:c r="H12" s="53"/>
    </x:row>
    <x:row r="13">
      <x:c r="A13" s="71" t="str">
        <x:v>Le score scientifique combine pertinence, traçabilité, conditions, intégrabilité et couverture, sans la clarté juridique. Le score global reprend les six critères. Les scores sont des jugements documentés à partir du registre local et des fichiers intégrés ; ils doivent être révisés après avis SDVI, confirmation des licences ou audit d’échantillons. Le pourcentage « champ conditions renseigné » mesure la présence du champ dans la table fusionnée, pas la complétude réelle des paramètres expérimentaux. Les lignes par source sont des présences dans des lignes consolidées : le chevauchement inter-source rend leur somme supérieure au total.</x:v>
      </x:c>
      <x:c r="B13" s="72"/>
      <x:c r="C13" s="72"/>
      <x:c r="D13" s="72"/>
      <x:c r="E13" s="72"/>
      <x:c r="F13" s="72"/>
      <x:c r="G13" s="72"/>
      <x:c r="H13" s="73"/>
    </x:row>
    <x:row r="14">
      <x:c r="A14" s="74"/>
      <x:c r="B14" s="75"/>
      <x:c r="C14" s="75"/>
      <x:c r="D14" s="75"/>
      <x:c r="E14" s="75"/>
      <x:c r="F14" s="75"/>
      <x:c r="G14" s="75"/>
      <x:c r="H14" s="76"/>
    </x:row>
    <x:row r="15">
      <x:c r="A15" s="74"/>
      <x:c r="B15" s="75"/>
      <x:c r="C15" s="75"/>
      <x:c r="D15" s="75"/>
      <x:c r="E15" s="75"/>
      <x:c r="F15" s="75"/>
      <x:c r="G15" s="75"/>
      <x:c r="H15" s="76"/>
    </x:row>
    <x:row r="16">
      <x:c r="A16" s="74"/>
      <x:c r="B16" s="75"/>
      <x:c r="C16" s="75"/>
      <x:c r="D16" s="75"/>
      <x:c r="E16" s="75"/>
      <x:c r="F16" s="75"/>
      <x:c r="G16" s="75"/>
      <x:c r="H16" s="76"/>
    </x:row>
    <x:row r="17">
      <x:c r="A17" s="77"/>
      <x:c r="B17" s="78"/>
      <x:c r="C17" s="78"/>
      <x:c r="D17" s="78"/>
      <x:c r="E17" s="78"/>
      <x:c r="F17" s="78"/>
      <x:c r="G17" s="78"/>
      <x:c r="H17" s="79"/>
    </x:row>
    <x:row r="19">
      <x:c r="A19" s="81" t="str">
        <x:v>Provenance utilisée</x:v>
      </x:c>
      <x:c r="B19" s="81"/>
      <x:c r="C19" s="81"/>
      <x:c r="D19" s="81"/>
      <x:c r="E19" s="81"/>
      <x:c r="F19" s="81"/>
      <x:c r="G19" s="81"/>
      <x:c r="H19" s="81"/>
    </x:row>
    <x:row r="20" ht="30" customHeight="1">
      <x:c r="A20" s="132" t="str">
        <x:v>Registre machine</x:v>
      </x:c>
      <x:c r="B20" s="132" t="str">
        <x:v>config/sources.json</x:v>
      </x:c>
    </x:row>
    <x:row r="21" ht="30" customHeight="1">
      <x:c r="A21" s="133" t="str">
        <x:v>Registre lisible</x:v>
      </x:c>
      <x:c r="B21" s="133" t="str">
        <x:v>SOURCES_AND_LICENSES.md</x:v>
      </x:c>
    </x:row>
    <x:row r="22" ht="30" customHeight="1">
      <x:c r="A22" s="133" t="str">
        <x:v>Droits globaux</x:v>
      </x:c>
      <x:c r="B22" s="133" t="str">
        <x:v>RIGHTS.md</x:v>
      </x:c>
    </x:row>
    <x:row r="23" ht="30" customHeight="1">
      <x:c r="A23" s="133" t="str">
        <x:v>Description du pipeline</x:v>
      </x:c>
      <x:c r="B23" s="133" t="str">
        <x:v>README.md</x:v>
      </x:c>
    </x:row>
    <x:row r="24" ht="30" customHeight="1">
      <x:c r="A24" s="133" t="str">
        <x:v>Table analysée</x:v>
      </x:c>
      <x:c r="B24" s="133" t="str">
        <x:v>outputs/thermo_equilibrium_merged.tsv</x:v>
      </x:c>
    </x:row>
    <x:row r="25" ht="30" customHeight="1">
      <x:c r="A25" s="134" t="str">
        <x:v>Total consolidé</x:v>
      </x:c>
      <x:c r="B25" s="134" t="str">
        <x:v>docs/data/manifest.json — 142 780 lignes</x:v>
      </x:c>
    </x:row>
  </x:sheetData>
  <x:mergeCells>
    <x:mergeCell ref="A1:H1"/>
    <x:mergeCell ref="A12:H12"/>
    <x:mergeCell ref="A13:H17"/>
    <x:mergeCell ref="A19:H19"/>
  </x:mergeCells>
  <x:pageMargins left="0.7" right="0.7" top="0.75" bottom="0.75" header="0.3" footer="0.3"/>
</x:worksheet>
</file>